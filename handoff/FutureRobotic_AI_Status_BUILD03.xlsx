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03baeab91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2f2b1d08f574544"/>
    <x:sheet xmlns:r="http://schemas.openxmlformats.org/officeDocument/2006/relationships" name="Backlog" sheetId="2" r:id="Red8af33eeb16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"/>
  </x:numFmts>
  <x:fonts count="13">
    <x:font>
      <x:sz val="11"/>
      <x:name val="Carlito"/>
    </x:font>
    <x:font>
      <x:sz val="10"/>
      <x:color rgb="FF20313E"/>
      <x:name val="Arial"/>
    </x:font>
    <x:font>
      <x:b/>
      <x:sz val="16"/>
      <x:color rgb="FF17384A"/>
      <x:name val="Arial"/>
    </x:font>
    <x:font>
      <x:i/>
      <x:sz val="10"/>
      <x:color rgb="FF5E6F7B"/>
      <x:name val="Arial"/>
    </x:font>
    <x:font>
      <x:b/>
      <x:sz val="10"/>
      <x:color rgb="FF9A3028"/>
      <x:name val="Arial"/>
    </x:font>
    <x:font>
      <x:b/>
      <x:sz val="10"/>
      <x:color rgb="FF20313E"/>
      <x:name val="Arial"/>
    </x:font>
    <x:font>
      <x:b/>
      <x:sz val="10"/>
      <x:color rgb="FF17384A"/>
      <x:name val="Arial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1C6B43"/>
      <x:name val="Arial"/>
    </x:font>
    <x:font>
      <x:b/>
      <x:sz val="10"/>
      <x:color rgb="FF8A5A00"/>
      <x:name val="Arial"/>
    </x:font>
    <x:font>
      <x:b/>
      <x:sz val="10"/>
      <x:color rgb="FFA12B2B"/>
      <x:name val="Arial"/>
    </x:font>
    <x:font>
      <x:b/>
      <x:sz val="10"/>
      <x:color rgb="FF4D5B6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84A"/>
      </x:patternFill>
    </x:fill>
    <x:fill>
      <x:patternFill patternType="solid">
        <x:fgColor rgb="FFE8F3EC"/>
      </x:patternFill>
    </x:fill>
    <x:fill>
      <x:patternFill patternType="solid">
        <x:fgColor rgb="FFFFF3D7"/>
      </x:patternFill>
    </x:fill>
    <x:fill>
      <x:patternFill patternType="solid">
        <x:fgColor rgb="FFFCE6E6"/>
      </x:patternFill>
    </x:fill>
    <x:fill>
      <x:patternFill patternType="solid">
        <x:fgColor rgb="FFEEF1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1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9" fillId="3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 applyAlignment="1">
      <x:alignment horizontal="right"/>
    </x:xf>
    <x:xf numFmtId="0" fontId="10" fillId="4" borderId="0" xfId="0" applyNumberFormat="1" applyFont="1" applyFill="1" applyBorder="1"/>
    <x:xf numFmtId="0" fontId="1" fillId="5" borderId="0" xfId="0" applyNumberFormat="1" applyFont="1" applyFill="1" applyBorder="1"/>
    <x:xf numFmtId="201" fontId="1" fillId="5" borderId="0" xfId="0" applyNumberFormat="1" applyFont="1" applyFill="1" applyBorder="1" applyAlignment="1">
      <x:alignment horizontal="right"/>
    </x:xf>
    <x:xf numFmtId="0" fontId="11" fillId="5" borderId="0" xfId="0" applyNumberFormat="1" applyFont="1" applyFill="1" applyBorder="1"/>
    <x:xf numFmtId="0" fontId="1" fillId="6" borderId="0" xfId="0" applyNumberFormat="1" applyFont="1" applyFill="1" applyBorder="1"/>
    <x:xf numFmtId="201" fontId="1" fillId="6" borderId="0" xfId="0" applyNumberFormat="1" applyFont="1" applyFill="1" applyBorder="1" applyAlignment="1">
      <x:alignment horizontal="right"/>
    </x:xf>
    <x:xf numFmtId="0" fontId="12" fillId="6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1C6B43"/>
      </x:font>
      <x:fill>
        <x:patternFill patternType="solid">
          <x:bgColor rgb="FFE8F3EC"/>
        </x:patternFill>
      </x:fill>
    </x:dxf>
    <x:dxf>
      <x:font>
        <x:b/>
        <x:color rgb="FF8A5A00"/>
      </x:font>
      <x:fill>
        <x:patternFill patternType="solid">
          <x:bgColor rgb="FFFFF3D7"/>
        </x:patternFill>
      </x:fill>
    </x:dxf>
    <x:dxf>
      <x:font>
        <x:b/>
        <x:color rgb="FFA12B2B"/>
      </x:font>
      <x:fill>
        <x:patternFill patternType="solid">
          <x:bgColor rgb="FFFCE6E6"/>
        </x:patternFill>
      </x:fill>
    </x:dxf>
    <x:dxf>
      <x:font>
        <x:b/>
        <x:color rgb="FF4D5B67"/>
      </x:font>
      <x:fill>
        <x:patternFill patternType="solid">
          <x:bgColor rgb="FFEEF1F4"/>
        </x:patternFill>
      </x:fill>
    </x:dxf>
    <x:dxf>
      <x:font>
        <x:b/>
        <x:color rgb="FFA12B2B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a0ebd0f9846fa" /><Relationship Type="http://schemas.openxmlformats.org/officeDocument/2006/relationships/theme" Target="/xl/theme/theme1.xml" Id="R996aa591ded9474e" /><Relationship Type="http://schemas.openxmlformats.org/officeDocument/2006/relationships/sharedStrings" Target="/xl/sharedStrings.xml" Id="R70cf79275c964e53" /><Relationship Type="http://schemas.openxmlformats.org/officeDocument/2006/relationships/worksheet" Target="/xl/worksheets/sheet1.xml" Id="Rf2f2b1d08f574544" /><Relationship Type="http://schemas.openxmlformats.org/officeDocument/2006/relationships/worksheet" Target="/xl/worksheets/sheet2.xml" Id="Red8af33eeb164cfa" /></Relationships>
</file>

<file path=xl/tables/table1.xml><?xml version="1.0" encoding="utf-8"?>
<x:table xmlns:x="http://schemas.openxmlformats.org/spreadsheetml/2006/main" id="1" name="ReleaseBacklog" displayName="ReleaseBacklog" ref="A6:N202" headerRowCount="1" totalsRowCount="0" totalsRowShown="0">
  <x:autoFilter ref="A6:N202"/>
  <x:tableColumns count="14">
    <x:tableColumn id="1" name="ID"/>
    <x:tableColumn id="2" name="Feature or task"/>
    <x:tableColumn id="3" name="Category"/>
    <x:tableColumn id="4" name="Scope"/>
    <x:tableColumn id="5" name="Status"/>
    <x:tableColumn id="6" name="Phase"/>
    <x:tableColumn id="7" name="Priority"/>
    <x:tableColumn id="8" name="Owner"/>
    <x:tableColumn id="9" name="Current evidence"/>
    <x:tableColumn id="10" name="Remaining work"/>
    <x:tableColumn id="11" name="Acceptance criteria"/>
    <x:tableColumn id="12" name="Reference"/>
    <x:tableColumn id="13" name="Blockers"/>
    <x:tableColumn id="14" name="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4e1d7f4a24501" /></Relationships>
</file>

<file path=xl/worksheets/sheet1.xml><?xml version="1.0" encoding="utf-8"?>
<x:worksheet xmlns:x="http://schemas.openxmlformats.org/spreadsheetml/2006/main">
  <x:sheetPr>
    <x:tabColor rgb="FF17384A"/>
  </x:sheetPr>
  <x:sheetViews>
    <x:sheetView showGridLines="0" workbookViewId="0"/>
  </x:sheetViews>
  <x:sheetFormatPr defaultRowHeight="15"/>
  <x:cols>
    <x:col min="1" max="1" width="15" hidden="0" customWidth="1"/>
    <x:col min="2" max="2" width="45" hidden="0" customWidth="1"/>
    <x:col min="3" max="3" width="3" hidden="0" customWidth="1"/>
    <x:col min="4" max="4" width="10" hidden="0" customWidth="1"/>
    <x:col min="5" max="5" width="40" hidden="0" customWidth="1"/>
    <x:col min="6" max="6" width="15" hidden="0" customWidth="1"/>
    <x:col min="7" max="7" width="13" hidden="0" customWidth="1"/>
    <x:col min="8" max="8" width="13" hidden="0" customWidth="1"/>
    <x:col min="9" max="9" width="15" hidden="0" customWidth="1"/>
    <x:col min="10" max="10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2" t="str">
        <x:v>FutureRobotic AI release status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BUILD-03. 126 carried items reviewed.</x:v>
      </x:c>
      <x:c r="B3" s="1"/>
      <x:c r="C3" s="1"/>
      <x:c r="D3" s="5" t="str">
        <x:v>Current release: owner-private preview. AWS production is not verified.</x:v>
      </x:c>
      <x:c r="E3" s="1"/>
      <x:c r="F3" s="1"/>
      <x:c r="G3" s="1"/>
      <x:c r="H3" s="1"/>
      <x:c r="I3" s="1"/>
      <x:c r="J3" s="1"/>
    </x:row>
    <x:row r="4" ht="24" customHeight="1">
      <x:c r="A4" s="1" t="str">
        <x:v>Reviewed</x:v>
      </x:c>
      <x:c r="B4" s="4" t="d">
        <x:v>2026-10-22T00:00:00.000Z</x:v>
      </x:c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22" t="str">
        <x:v>Status</x:v>
      </x:c>
      <x:c r="B6" s="22" t="str">
        <x:v>Work items</x:v>
      </x:c>
      <x:c r="C6" s="1"/>
      <x:c r="D6" s="22" t="str">
        <x:v>Phase</x:v>
      </x:c>
      <x:c r="E6" s="22" t="str">
        <x:v>Work package</x:v>
      </x:c>
      <x:c r="F6" s="22" t="str">
        <x:v>Implemented</x:v>
      </x:c>
      <x:c r="G6" s="22" t="str">
        <x:v>Partial</x:v>
      </x:c>
      <x:c r="H6" s="22" t="str">
        <x:v>Blocked</x:v>
      </x:c>
      <x:c r="I6" s="22" t="str">
        <x:v>Not started</x:v>
      </x:c>
      <x:c r="J6" s="22" t="str">
        <x:v>Total</x:v>
      </x:c>
    </x:row>
    <x:row r="7" ht="25" customHeight="1">
      <x:c r="A7" s="25" t="str">
        <x:v>Implemented</x:v>
      </x:c>
      <x:c r="B7" s="24" t="n">
        <x:f>COUNTIFS('Backlog'!$E$7:$E$1006,A7)</x:f>
        <x:v>73</x:v>
      </x:c>
      <x:c r="C7" s="1"/>
      <x:c r="D7" s="1" t="str">
        <x:v>P00</x:v>
      </x:c>
      <x:c r="E7" s="10" t="str">
        <x:v>Audit and blockers</x:v>
      </x:c>
      <x:c r="F7" s="7" t="n">
        <x:f>COUNTIFS('Backlog'!$F$7:$F$1006,$D7,'Backlog'!$E$7:$E$1006,F$6)</x:f>
        <x:v>2</x:v>
      </x:c>
      <x:c r="G7" s="7" t="n">
        <x:f>COUNTIFS('Backlog'!$F$7:$F$1006,$D7,'Backlog'!$E$7:$E$1006,G$6)</x:f>
        <x:v>0</x:v>
      </x:c>
      <x:c r="H7" s="7" t="n">
        <x:f>COUNTIFS('Backlog'!$F$7:$F$1006,$D7,'Backlog'!$E$7:$E$1006,H$6)</x:f>
        <x:v>9</x:v>
      </x:c>
      <x:c r="I7" s="7" t="n">
        <x:f>COUNTIFS('Backlog'!$F$7:$F$1006,$D7,'Backlog'!$E$7:$E$1006,I$6)</x:f>
        <x:v>0</x:v>
      </x:c>
      <x:c r="J7" s="7" t="n">
        <x:f>SUM(F7:I7)</x:f>
        <x:v>11</x:v>
      </x:c>
    </x:row>
    <x:row r="8" ht="25" customHeight="1">
      <x:c r="A8" s="28" t="str">
        <x:v>Partial</x:v>
      </x:c>
      <x:c r="B8" s="27" t="n">
        <x:f>COUNTIFS('Backlog'!$E$7:$E$1006,A8)</x:f>
        <x:v>59</x:v>
      </x:c>
      <x:c r="C8" s="1"/>
      <x:c r="D8" s="1" t="str">
        <x:v>P01</x:v>
      </x:c>
      <x:c r="E8" s="10" t="str">
        <x:v>Portable application foundation</x:v>
      </x:c>
      <x:c r="F8" s="7" t="n">
        <x:f>COUNTIFS('Backlog'!$F$7:$F$1006,$D8,'Backlog'!$E$7:$E$1006,F$6)</x:f>
        <x:v>5</x:v>
      </x:c>
      <x:c r="G8" s="7" t="n">
        <x:f>COUNTIFS('Backlog'!$F$7:$F$1006,$D8,'Backlog'!$E$7:$E$1006,G$6)</x:f>
        <x:v>2</x:v>
      </x:c>
      <x:c r="H8" s="7" t="n">
        <x:f>COUNTIFS('Backlog'!$F$7:$F$1006,$D8,'Backlog'!$E$7:$E$1006,H$6)</x:f>
        <x:v>0</x:v>
      </x:c>
      <x:c r="I8" s="7" t="n">
        <x:f>COUNTIFS('Backlog'!$F$7:$F$1006,$D8,'Backlog'!$E$7:$E$1006,I$6)</x:f>
        <x:v>0</x:v>
      </x:c>
      <x:c r="J8" s="7" t="n">
        <x:f>SUM(F8:I8)</x:f>
        <x:v>7</x:v>
      </x:c>
    </x:row>
    <x:row r="9" ht="25" customHeight="1">
      <x:c r="A9" s="31" t="str">
        <x:v>Blocked</x:v>
      </x:c>
      <x:c r="B9" s="30" t="n">
        <x:f>COUNTIFS('Backlog'!$E$7:$E$1006,A9)</x:f>
        <x:v>64</x:v>
      </x:c>
      <x:c r="C9" s="1"/>
      <x:c r="D9" s="1" t="str">
        <x:v>P02</x:v>
      </x:c>
      <x:c r="E9" s="10" t="str">
        <x:v>Database and portable identity</x:v>
      </x:c>
      <x:c r="F9" s="7" t="n">
        <x:f>COUNTIFS('Backlog'!$F$7:$F$1006,$D9,'Backlog'!$E$7:$E$1006,F$6)</x:f>
        <x:v>7</x:v>
      </x:c>
      <x:c r="G9" s="7" t="n">
        <x:f>COUNTIFS('Backlog'!$F$7:$F$1006,$D9,'Backlog'!$E$7:$E$1006,G$6)</x:f>
        <x:v>8</x:v>
      </x:c>
      <x:c r="H9" s="7" t="n">
        <x:f>COUNTIFS('Backlog'!$F$7:$F$1006,$D9,'Backlog'!$E$7:$E$1006,H$6)</x:f>
        <x:v>4</x:v>
      </x:c>
      <x:c r="I9" s="7" t="n">
        <x:f>COUNTIFS('Backlog'!$F$7:$F$1006,$D9,'Backlog'!$E$7:$E$1006,I$6)</x:f>
        <x:v>0</x:v>
      </x:c>
      <x:c r="J9" s="7" t="n">
        <x:f>SUM(F9:I9)</x:f>
        <x:v>19</x:v>
      </x:c>
    </x:row>
    <x:row r="10" ht="25" customHeight="1">
      <x:c r="A10" s="34" t="str">
        <x:v>Not started</x:v>
      </x:c>
      <x:c r="B10" s="33" t="n">
        <x:f>COUNTIFS('Backlog'!$E$7:$E$1006,A10)</x:f>
        <x:v>0</x:v>
      </x:c>
      <x:c r="C10" s="1"/>
      <x:c r="D10" s="1" t="str">
        <x:v>P03</x:v>
      </x:c>
      <x:c r="E10" s="10" t="str">
        <x:v>Frontend feature parity</x:v>
      </x:c>
      <x:c r="F10" s="7" t="n">
        <x:f>COUNTIFS('Backlog'!$F$7:$F$1006,$D10,'Backlog'!$E$7:$E$1006,F$6)</x:f>
        <x:v>15</x:v>
      </x:c>
      <x:c r="G10" s="7" t="n">
        <x:f>COUNTIFS('Backlog'!$F$7:$F$1006,$D10,'Backlog'!$E$7:$E$1006,G$6)</x:f>
        <x:v>4</x:v>
      </x:c>
      <x:c r="H10" s="7" t="n">
        <x:f>COUNTIFS('Backlog'!$F$7:$F$1006,$D10,'Backlog'!$E$7:$E$1006,H$6)</x:f>
        <x:v>0</x:v>
      </x:c>
      <x:c r="I10" s="7" t="n">
        <x:f>COUNTIFS('Backlog'!$F$7:$F$1006,$D10,'Backlog'!$E$7:$E$1006,I$6)</x:f>
        <x:v>0</x:v>
      </x:c>
      <x:c r="J10" s="7" t="n">
        <x:f>SUM(F10:I10)</x:f>
        <x:v>19</x:v>
      </x:c>
    </x:row>
    <x:row r="11" ht="25" customHeight="1">
      <x:c r="A11" s="8" t="str">
        <x:v>Classified items</x:v>
      </x:c>
      <x:c r="B11" s="9" t="n">
        <x:f>SUM(B7:B10)</x:f>
        <x:v>196</x:v>
      </x:c>
      <x:c r="C11" s="1"/>
      <x:c r="D11" s="1" t="str">
        <x:v>P04</x:v>
      </x:c>
      <x:c r="E11" s="10" t="str">
        <x:v>AI gateway and right-side chat</x:v>
      </x:c>
      <x:c r="F11" s="7" t="n">
        <x:f>COUNTIFS('Backlog'!$F$7:$F$1006,$D11,'Backlog'!$E$7:$E$1006,F$6)</x:f>
        <x:v>10</x:v>
      </x:c>
      <x:c r="G11" s="7" t="n">
        <x:f>COUNTIFS('Backlog'!$F$7:$F$1006,$D11,'Backlog'!$E$7:$E$1006,G$6)</x:f>
        <x:v>4</x:v>
      </x:c>
      <x:c r="H11" s="7" t="n">
        <x:f>COUNTIFS('Backlog'!$F$7:$F$1006,$D11,'Backlog'!$E$7:$E$1006,H$6)</x:f>
        <x:v>7</x:v>
      </x:c>
      <x:c r="I11" s="7" t="n">
        <x:f>COUNTIFS('Backlog'!$F$7:$F$1006,$D11,'Backlog'!$E$7:$E$1006,I$6)</x:f>
        <x:v>0</x:v>
      </x:c>
      <x:c r="J11" s="7" t="n">
        <x:f>SUM(F11:I11)</x:f>
        <x:v>21</x:v>
      </x:c>
    </x:row>
    <x:row r="12" ht="25" customHeight="1">
      <x:c r="A12" s="8" t="str">
        <x:v>Total items</x:v>
      </x:c>
      <x:c r="B12" s="9" t="n">
        <x:f>COUNTA('Backlog'!$A$7:$A$1006)</x:f>
        <x:v>196</x:v>
      </x:c>
      <x:c r="C12" s="1"/>
      <x:c r="D12" s="1" t="str">
        <x:v>P05</x:v>
      </x:c>
      <x:c r="E12" s="10" t="str">
        <x:v>Cloud files, history and shares</x:v>
      </x:c>
      <x:c r="F12" s="7" t="n">
        <x:f>COUNTIFS('Backlog'!$F$7:$F$1006,$D12,'Backlog'!$E$7:$E$1006,F$6)</x:f>
        <x:v>13</x:v>
      </x:c>
      <x:c r="G12" s="7" t="n">
        <x:f>COUNTIFS('Backlog'!$F$7:$F$1006,$D12,'Backlog'!$E$7:$E$1006,G$6)</x:f>
        <x:v>3</x:v>
      </x:c>
      <x:c r="H12" s="7" t="n">
        <x:f>COUNTIFS('Backlog'!$F$7:$F$1006,$D12,'Backlog'!$E$7:$E$1006,H$6)</x:f>
        <x:v>4</x:v>
      </x:c>
      <x:c r="I12" s="7" t="n">
        <x:f>COUNTIFS('Backlog'!$F$7:$F$1006,$D12,'Backlog'!$E$7:$E$1006,I$6)</x:f>
        <x:v>0</x:v>
      </x:c>
      <x:c r="J12" s="7" t="n">
        <x:f>SUM(F12:I12)</x:f>
        <x:v>20</x:v>
      </x:c>
    </x:row>
    <x:row r="13" ht="25" customHeight="1">
      <x:c r="A13" s="1" t="str">
        <x:v>Unclassified</x:v>
      </x:c>
      <x:c r="B13" s="7" t="n">
        <x:f>B12-B11</x:f>
        <x:v>0</x:v>
      </x:c>
      <x:c r="C13" s="1"/>
      <x:c r="D13" s="1" t="str">
        <x:v>P06</x:v>
      </x:c>
      <x:c r="E13" s="10" t="str">
        <x:v>PDF and five-language sandbox</x:v>
      </x:c>
      <x:c r="F13" s="7" t="n">
        <x:f>COUNTIFS('Backlog'!$F$7:$F$1006,$D13,'Backlog'!$E$7:$E$1006,F$6)</x:f>
        <x:v>7</x:v>
      </x:c>
      <x:c r="G13" s="7" t="n">
        <x:f>COUNTIFS('Backlog'!$F$7:$F$1006,$D13,'Backlog'!$E$7:$E$1006,G$6)</x:f>
        <x:v>5</x:v>
      </x:c>
      <x:c r="H13" s="7" t="n">
        <x:f>COUNTIFS('Backlog'!$F$7:$F$1006,$D13,'Backlog'!$E$7:$E$1006,H$6)</x:f>
        <x:v>5</x:v>
      </x:c>
      <x:c r="I13" s="7" t="n">
        <x:f>COUNTIFS('Backlog'!$F$7:$F$1006,$D13,'Backlog'!$E$7:$E$1006,I$6)</x:f>
        <x:v>0</x:v>
      </x:c>
      <x:c r="J13" s="7" t="n">
        <x:f>SUM(F13:I13)</x:f>
        <x:v>17</x:v>
      </x:c>
    </x:row>
    <x:row r="14" ht="25" customHeight="1">
      <x:c r="A14" s="1"/>
      <x:c r="B14" s="1"/>
      <x:c r="C14" s="1"/>
      <x:c r="D14" s="1" t="str">
        <x:v>P07</x:v>
      </x:c>
      <x:c r="E14" s="10" t="str">
        <x:v>Plans, quotas and billing</x:v>
      </x:c>
      <x:c r="F14" s="7" t="n">
        <x:f>COUNTIFS('Backlog'!$F$7:$F$1006,$D14,'Backlog'!$E$7:$E$1006,F$6)</x:f>
        <x:v>0</x:v>
      </x:c>
      <x:c r="G14" s="7" t="n">
        <x:f>COUNTIFS('Backlog'!$F$7:$F$1006,$D14,'Backlog'!$E$7:$E$1006,G$6)</x:f>
        <x:v>10</x:v>
      </x:c>
      <x:c r="H14" s="7" t="n">
        <x:f>COUNTIFS('Backlog'!$F$7:$F$1006,$D14,'Backlog'!$E$7:$E$1006,H$6)</x:f>
        <x:v>9</x:v>
      </x:c>
      <x:c r="I14" s="7" t="n">
        <x:f>COUNTIFS('Backlog'!$F$7:$F$1006,$D14,'Backlog'!$E$7:$E$1006,I$6)</x:f>
        <x:v>0</x:v>
      </x:c>
      <x:c r="J14" s="7" t="n">
        <x:f>SUM(F14:I14)</x:f>
        <x:v>19</x:v>
      </x:c>
    </x:row>
    <x:row r="15" ht="25" customHeight="1">
      <x:c r="A15" s="22" t="str">
        <x:v>Scope</x:v>
      </x:c>
      <x:c r="B15" s="22" t="str">
        <x:v>Work items</x:v>
      </x:c>
      <x:c r="C15" s="1"/>
      <x:c r="D15" s="1" t="str">
        <x:v>P08</x:v>
      </x:c>
      <x:c r="E15" s="10" t="str">
        <x:v>Public content, discovery and localization</x:v>
      </x:c>
      <x:c r="F15" s="7" t="n">
        <x:f>COUNTIFS('Backlog'!$F$7:$F$1006,$D15,'Backlog'!$E$7:$E$1006,F$6)</x:f>
        <x:v>11</x:v>
      </x:c>
      <x:c r="G15" s="7" t="n">
        <x:f>COUNTIFS('Backlog'!$F$7:$F$1006,$D15,'Backlog'!$E$7:$E$1006,G$6)</x:f>
        <x:v>5</x:v>
      </x:c>
      <x:c r="H15" s="7" t="n">
        <x:f>COUNTIFS('Backlog'!$F$7:$F$1006,$D15,'Backlog'!$E$7:$E$1006,H$6)</x:f>
        <x:v>2</x:v>
      </x:c>
      <x:c r="I15" s="7" t="n">
        <x:f>COUNTIFS('Backlog'!$F$7:$F$1006,$D15,'Backlog'!$E$7:$E$1006,I$6)</x:f>
        <x:v>0</x:v>
      </x:c>
      <x:c r="J15" s="7" t="n">
        <x:f>SUM(F15:I15)</x:f>
        <x:v>18</x:v>
      </x:c>
    </x:row>
    <x:row r="16" ht="25" customHeight="1">
      <x:c r="A16" s="1" t="str">
        <x:v>Reference</x:v>
      </x:c>
      <x:c r="B16" s="6" t="n">
        <x:f>COUNTIFS('Backlog'!$D$7:$D$1006,A16)</x:f>
        <x:v>116</x:v>
      </x:c>
      <x:c r="C16" s="1"/>
      <x:c r="D16" s="1" t="str">
        <x:v>P09</x:v>
      </x:c>
      <x:c r="E16" s="10" t="str">
        <x:v>AWS infrastructure and CI</x:v>
      </x:c>
      <x:c r="F16" s="7" t="n">
        <x:f>COUNTIFS('Backlog'!$F$7:$F$1006,$D16,'Backlog'!$E$7:$E$1006,F$6)</x:f>
        <x:v>0</x:v>
      </x:c>
      <x:c r="G16" s="7" t="n">
        <x:f>COUNTIFS('Backlog'!$F$7:$F$1006,$D16,'Backlog'!$E$7:$E$1006,G$6)</x:f>
        <x:v>6</x:v>
      </x:c>
      <x:c r="H16" s="7" t="n">
        <x:f>COUNTIFS('Backlog'!$F$7:$F$1006,$D16,'Backlog'!$E$7:$E$1006,H$6)</x:f>
        <x:v>10</x:v>
      </x:c>
      <x:c r="I16" s="7" t="n">
        <x:f>COUNTIFS('Backlog'!$F$7:$F$1006,$D16,'Backlog'!$E$7:$E$1006,I$6)</x:f>
        <x:v>0</x:v>
      </x:c>
      <x:c r="J16" s="7" t="n">
        <x:f>SUM(F16:I16)</x:f>
        <x:v>16</x:v>
      </x:c>
    </x:row>
    <x:row r="17" ht="25" customHeight="1">
      <x:c r="A17" s="1" t="str">
        <x:v>Production</x:v>
      </x:c>
      <x:c r="B17" s="6" t="n">
        <x:f>COUNTIFS('Backlog'!$D$7:$D$1006,A17)</x:f>
        <x:v>69</x:v>
      </x:c>
      <x:c r="C17" s="1"/>
      <x:c r="D17" s="1" t="str">
        <x:v>P10</x:v>
      </x:c>
      <x:c r="E17" s="10" t="str">
        <x:v>Security, performance and recovery gates</x:v>
      </x:c>
      <x:c r="F17" s="7" t="n">
        <x:f>COUNTIFS('Backlog'!$F$7:$F$1006,$D17,'Backlog'!$E$7:$E$1006,F$6)</x:f>
        <x:v>3</x:v>
      </x:c>
      <x:c r="G17" s="7" t="n">
        <x:f>COUNTIFS('Backlog'!$F$7:$F$1006,$D17,'Backlog'!$E$7:$E$1006,G$6)</x:f>
        <x:v>10</x:v>
      </x:c>
      <x:c r="H17" s="7" t="n">
        <x:f>COUNTIFS('Backlog'!$F$7:$F$1006,$D17,'Backlog'!$E$7:$E$1006,H$6)</x:f>
        <x:v>10</x:v>
      </x:c>
      <x:c r="I17" s="7" t="n">
        <x:f>COUNTIFS('Backlog'!$F$7:$F$1006,$D17,'Backlog'!$E$7:$E$1006,I$6)</x:f>
        <x:v>0</x:v>
      </x:c>
      <x:c r="J17" s="7" t="n">
        <x:f>SUM(F17:I17)</x:f>
        <x:v>23</x:v>
      </x:c>
    </x:row>
    <x:row r="18" ht="25" customHeight="1">
      <x:c r="A18" s="1" t="str">
        <x:v>External</x:v>
      </x:c>
      <x:c r="B18" s="6" t="n">
        <x:f>COUNTIFS('Backlog'!$D$7:$D$1006,A18)</x:f>
        <x:v>10</x:v>
      </x:c>
      <x:c r="C18" s="1"/>
      <x:c r="D18" s="1" t="str">
        <x:v>P11</x:v>
      </x:c>
      <x:c r="E18" s="10" t="str">
        <x:v>AWS staging and limited beta</x:v>
      </x:c>
      <x:c r="F18" s="7" t="n">
        <x:f>COUNTIFS('Backlog'!$F$7:$F$1006,$D18,'Backlog'!$E$7:$E$1006,F$6)</x:f>
        <x:v>0</x:v>
      </x:c>
      <x:c r="G18" s="7" t="n">
        <x:f>COUNTIFS('Backlog'!$F$7:$F$1006,$D18,'Backlog'!$E$7:$E$1006,G$6)</x:f>
        <x:v>0</x:v>
      </x:c>
      <x:c r="H18" s="7" t="n">
        <x:f>COUNTIFS('Backlog'!$F$7:$F$1006,$D18,'Backlog'!$E$7:$E$1006,H$6)</x:f>
        <x:v>1</x:v>
      </x:c>
      <x:c r="I18" s="7" t="n">
        <x:f>COUNTIFS('Backlog'!$F$7:$F$1006,$D18,'Backlog'!$E$7:$E$1006,I$6)</x:f>
        <x:v>0</x:v>
      </x:c>
      <x:c r="J18" s="7" t="n">
        <x:f>SUM(F18:I18)</x:f>
        <x:v>1</x:v>
      </x:c>
    </x:row>
    <x:row r="19" ht="25" customHeight="1">
      <x:c r="A19" s="1" t="str">
        <x:v>Delivery</x:v>
      </x:c>
      <x:c r="B19" s="6" t="n">
        <x:f>COUNTIFS('Backlog'!$D$7:$D$1006,A19)</x:f>
        <x:v>1</x:v>
      </x:c>
      <x:c r="C19" s="1"/>
      <x:c r="D19" s="1" t="str">
        <x:v>P12</x:v>
      </x:c>
      <x:c r="E19" s="10" t="str">
        <x:v>Controlled worldwide release</x:v>
      </x:c>
      <x:c r="F19" s="7" t="n">
        <x:f>COUNTIFS('Backlog'!$F$7:$F$1006,$D19,'Backlog'!$E$7:$E$1006,F$6)</x:f>
        <x:v>0</x:v>
      </x:c>
      <x:c r="G19" s="7" t="n">
        <x:f>COUNTIFS('Backlog'!$F$7:$F$1006,$D19,'Backlog'!$E$7:$E$1006,G$6)</x:f>
        <x:v>1</x:v>
      </x:c>
      <x:c r="H19" s="7" t="n">
        <x:f>COUNTIFS('Backlog'!$F$7:$F$1006,$D19,'Backlog'!$E$7:$E$1006,H$6)</x:f>
        <x:v>3</x:v>
      </x:c>
      <x:c r="I19" s="7" t="n">
        <x:f>COUNTIFS('Backlog'!$F$7:$F$1006,$D19,'Backlog'!$E$7:$E$1006,I$6)</x:f>
        <x:v>0</x:v>
      </x:c>
      <x:c r="J19" s="7" t="n">
        <x:f>SUM(F19:I19)</x:f>
        <x:v>4</x:v>
      </x:c>
    </x:row>
    <x:row r="20" ht="30" customHeight="1">
      <x:c r="A20" s="1"/>
      <x:c r="B20" s="1"/>
      <x:c r="C20" s="1"/>
      <x:c r="D20" s="1" t="str">
        <x:v>P13</x:v>
      </x:c>
      <x:c r="E20" s="10" t="str">
        <x:v>Operate and expand</x:v>
      </x:c>
      <x:c r="F20" s="7" t="n">
        <x:f>COUNTIFS('Backlog'!$F$7:$F$1006,$D20,'Backlog'!$E$7:$E$1006,F$6)</x:f>
        <x:v>0</x:v>
      </x:c>
      <x:c r="G20" s="7" t="n">
        <x:f>COUNTIFS('Backlog'!$F$7:$F$1006,$D20,'Backlog'!$E$7:$E$1006,G$6)</x:f>
        <x:v>1</x:v>
      </x:c>
      <x:c r="H20" s="7" t="n">
        <x:f>COUNTIFS('Backlog'!$F$7:$F$1006,$D20,'Backlog'!$E$7:$E$1006,H$6)</x:f>
        <x:v>0</x:v>
      </x:c>
      <x:c r="I20" s="7" t="n">
        <x:f>COUNTIFS('Backlog'!$F$7:$F$1006,$D20,'Backlog'!$E$7:$E$1006,I$6)</x:f>
        <x:v>0</x:v>
      </x:c>
      <x:c r="J20" s="7" t="n">
        <x:f>SUM(F20:I20)</x:f>
        <x:v>1</x:v>
      </x:c>
    </x:row>
    <x:row r="21" ht="23" customHeight="1">
      <x:c r="A21" s="3" t="str">
        <x:v>Counts are task counts, not a production-readiness percentage.</x:v>
      </x:c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3" customHeight="1">
      <x:c r="A22" s="3" t="str">
        <x:v>The Backlog sheet contains remaining work, evidence and acceptance criteria.</x:v>
      </x:c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30" customHeight="1">
      <x:c r="A25" s="22" t="str">
        <x:v>Blocker</x:v>
      </x:c>
      <x:c r="B25" s="22" t="str">
        <x:v>Operation awaiting access or approval</x:v>
      </x:c>
      <x:c r="C25" s="1"/>
      <x:c r="D25" s="11" t="str">
        <x:v>Remaining work</x:v>
      </x:c>
      <x:c r="E25" s="1"/>
      <x:c r="F25" s="1"/>
      <x:c r="G25" s="1"/>
      <x:c r="H25" s="1"/>
      <x:c r="I25" s="1"/>
      <x:c r="J25" s="1"/>
    </x:row>
    <x:row r="26" ht="32" customHeight="1">
      <x:c r="A26" s="1" t="str">
        <x:v>B01</x:v>
      </x:c>
      <x:c r="B26" s="10" t="str">
        <x:v>Docker, native database and isolated runner verification unavailable</x:v>
      </x:c>
      <x:c r="C26" s="1"/>
      <x:c r="D26" s="1" t="str">
        <x:v>Remaining engineering: anonymous dispatch, typed API contracts, French UI, operator console and deployment bootstrap.</x:v>
      </x:c>
      <x:c r="E26" s="1"/>
      <x:c r="F26" s="1"/>
      <x:c r="G26" s="1"/>
      <x:c r="H26" s="1"/>
      <x:c r="I26" s="1"/>
      <x:c r="J26" s="1"/>
    </x:row>
    <x:row r="27" ht="32" customHeight="1">
      <x:c r="A27" s="1" t="str">
        <x:v>B02</x:v>
      </x:c>
      <x:c r="B27" s="10" t="str">
        <x:v>AWS account and deployment role unavailable</x:v>
      </x:c>
      <x:c r="C27" s="1"/>
      <x:c r="D27" s="1"/>
      <x:c r="E27" s="1"/>
      <x:c r="F27" s="1"/>
      <x:c r="G27" s="1"/>
      <x:c r="H27" s="1"/>
      <x:c r="I27" s="1"/>
      <x:c r="J27" s="1"/>
    </x:row>
    <x:row r="28" ht="32" customHeight="1">
      <x:c r="A28" s="1" t="str">
        <x:v>B03</x:v>
      </x:c>
      <x:c r="B28" s="10" t="str">
        <x:v>Live AI secret and quota unavailable</x:v>
      </x:c>
      <x:c r="C28" s="1"/>
      <x:c r="D28" s="1" t="str">
        <x:v>All 126 carried partial items reviewed. 23 implemented; 59 partial; 44 await external gates.</x:v>
      </x:c>
      <x:c r="E28" s="1"/>
      <x:c r="F28" s="1"/>
      <x:c r="G28" s="1"/>
      <x:c r="H28" s="1"/>
      <x:c r="I28" s="1"/>
      <x:c r="J28" s="1"/>
    </x:row>
    <x:row r="29" ht="32" customHeight="1">
      <x:c r="A29" s="1" t="str">
        <x:v>B04</x:v>
      </x:c>
      <x:c r="B29" s="10" t="str">
        <x:v>Merchant onboarding and payment tests unavailable</x:v>
      </x:c>
      <x:c r="C29" s="1"/>
      <x:c r="D29" s="1"/>
      <x:c r="E29" s="1"/>
      <x:c r="F29" s="1"/>
      <x:c r="G29" s="1"/>
      <x:c r="H29" s="1"/>
      <x:c r="I29" s="1"/>
      <x:c r="J29" s="1"/>
    </x:row>
    <x:row r="30" ht="32" customHeight="1">
      <x:c r="A30" s="1" t="str">
        <x:v>B05</x:v>
      </x:c>
      <x:c r="B30" s="10" t="str">
        <x:v>Domain and DNS control unavailable</x:v>
      </x:c>
      <x:c r="C30" s="1"/>
      <x:c r="D30" s="1" t="str">
        <x:v>100 tests passed. Database tests use PostgreSQL WASM; native contention remains blocked.</x:v>
      </x:c>
      <x:c r="E30" s="1"/>
      <x:c r="F30" s="1"/>
      <x:c r="G30" s="1"/>
      <x:c r="H30" s="1"/>
      <x:c r="I30" s="1"/>
      <x:c r="J30" s="1"/>
    </x:row>
    <x:row r="31" ht="32" customHeight="1">
      <x:c r="A31" s="1" t="str">
        <x:v>B06</x:v>
      </x:c>
      <x:c r="B31" s="10" t="str">
        <x:v>Production OAuth applications unavailable</x:v>
      </x:c>
      <x:c r="C31" s="1"/>
      <x:c r="D31" s="1"/>
      <x:c r="E31" s="1"/>
      <x:c r="F31" s="1"/>
      <x:c r="G31" s="1"/>
      <x:c r="H31" s="1"/>
      <x:c r="I31" s="1"/>
      <x:c r="J31" s="1"/>
    </x:row>
    <x:row r="32" ht="32" customHeight="1">
      <x:c r="A32" s="1" t="str">
        <x:v>B07</x:v>
      </x:c>
      <x:c r="B32" s="10" t="str">
        <x:v>Email sender and support delivery unavailable</x:v>
      </x:c>
      <x:c r="C32" s="1"/>
      <x:c r="D32" s="1" t="str">
        <x:v>Edit status/evidence by stable ID. See BUILD03_REPORT.md and ops/README.md.</x:v>
      </x:c>
      <x:c r="E32" s="1"/>
      <x:c r="F32" s="1"/>
      <x:c r="G32" s="1"/>
      <x:c r="H32" s="1"/>
      <x:c r="I32" s="1"/>
      <x:c r="J32" s="1"/>
    </x:row>
    <x:row r="33" ht="32" customHeight="1">
      <x:c r="A33" s="1" t="str">
        <x:v>B08</x:v>
      </x:c>
      <x:c r="B33" s="10" t="str">
        <x:v>Owner business and release decisions outstanding</x:v>
      </x:c>
      <x:c r="C33" s="1"/>
      <x:c r="D33" s="1"/>
      <x:c r="E33" s="1"/>
      <x:c r="F33" s="1"/>
      <x:c r="G33" s="1"/>
      <x:c r="H33" s="1"/>
      <x:c r="I33" s="1"/>
      <x:c r="J33" s="1"/>
    </x:row>
    <x:row r="34" ht="32" customHeight="1">
      <x:c r="A34" s="1" t="str">
        <x:v>B09</x:v>
      </x:c>
      <x:c r="B34" s="10" t="str">
        <x:v>Owner CI trust and repository setup outstanding</x:v>
      </x:c>
      <x:c r="C34" s="1"/>
      <x:c r="D34" s="1" t="str">
        <x:v>Summary counts include up to 1,000 backlog rows. New tasks must keep unique IDs.</x:v>
      </x:c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 t="str">
        <x:v>Portable account application delivered. The private preview still uses Worker/browser storage.</x:v>
      </x:c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3" t="str">
        <x:v>Build source: see release-manifest.json for the exact source commit.</x:v>
      </x:c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</x:sheetData>
  <x:conditionalFormatting sqref="B13:B13">
    <x:cfRule type="cellIs" dxfId="4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E9CA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7" hidden="0" customWidth="1"/>
    <x:col min="3" max="3" width="31" hidden="0" customWidth="1"/>
    <x:col min="4" max="4" width="15" hidden="0" customWidth="1"/>
    <x:col min="5" max="5" width="17" hidden="0" customWidth="1"/>
    <x:col min="6" max="6" width="10" hidden="0" customWidth="1"/>
    <x:col min="7" max="7" width="10" hidden="0" customWidth="1"/>
    <x:col min="8" max="8" width="25" hidden="0" customWidth="1"/>
    <x:col min="9" max="9" width="55" hidden="0" customWidth="1"/>
    <x:col min="10" max="10" width="66" hidden="0" customWidth="1"/>
    <x:col min="11" max="11" width="66" hidden="0" customWidth="1"/>
    <x:col min="12" max="12" width="30" hidden="0" customWidth="1"/>
    <x:col min="13" max="13" width="20" hidden="0" customWidth="1"/>
    <x:col min="14" max="14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FutureRobotic AI feature and release backlog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Change Status, Evidence and Remaining work after each build. Keep task IDs stable.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str">
        <x:v>Implemented means the named scope has evidence. It does not establish AWS production readiness.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22" t="str">
        <x:v>ID</x:v>
      </x:c>
      <x:c r="B6" s="22" t="str">
        <x:v>Feature or task</x:v>
      </x:c>
      <x:c r="C6" s="22" t="str">
        <x:v>Category</x:v>
      </x:c>
      <x:c r="D6" s="22" t="str">
        <x:v>Scope</x:v>
      </x:c>
      <x:c r="E6" s="22" t="str">
        <x:v>Status</x:v>
      </x:c>
      <x:c r="F6" s="22" t="str">
        <x:v>Phase</x:v>
      </x:c>
      <x:c r="G6" s="22" t="str">
        <x:v>Priority</x:v>
      </x:c>
      <x:c r="H6" s="22" t="str">
        <x:v>Owner</x:v>
      </x:c>
      <x:c r="I6" s="22" t="str">
        <x:v>Current evidence</x:v>
      </x:c>
      <x:c r="J6" s="22" t="str">
        <x:v>Remaining work</x:v>
      </x:c>
      <x:c r="K6" s="22" t="str">
        <x:v>Acceptance criteria</x:v>
      </x:c>
      <x:c r="L6" s="22" t="str">
        <x:v>Reference</x:v>
      </x:c>
      <x:c r="M6" s="22" t="str">
        <x:v>Blockers</x:v>
      </x:c>
      <x:c r="N6" s="22" t="str">
        <x:v>Reviewed</x:v>
      </x:c>
    </x:row>
    <x:row r="7" ht="66" customHeight="1">
      <x:c r="A7" s="15" t="str">
        <x:v>ENV-001</x:v>
      </x:c>
      <x:c r="B7" s="13" t="str">
        <x:v>Docker image build and execution verification</x:v>
      </x:c>
      <x:c r="C7" s="13" t="str">
        <x:v>External access and environment</x:v>
      </x:c>
      <x:c r="D7" s="13" t="str">
        <x:v>External</x:v>
      </x:c>
      <x:c r="E7" s="16" t="str">
        <x:v>Blocked</x:v>
      </x:c>
      <x:c r="F7" s="13" t="str">
        <x:v>P00</x:v>
      </x:c>
      <x:c r="G7" s="13" t="str">
        <x:v>P0</x:v>
      </x:c>
      <x:c r="H7" s="13" t="str">
        <x:v>Codex on Docker/gVisor-capable CI or owner host</x:v>
      </x:c>
      <x:c r="I7" s="13" t="str">
        <x:v>Docker unavailable; native multi-connection/container/runtime checks remain unperformed. Images and probe source are prepared.</x:v>
      </x:c>
      <x:c r="J7" s="13" t="str">
        <x:v>Use a Docker-capable CI runner or owner environment. Image files can be authored before this is resolved.</x:v>
      </x:c>
      <x:c r="K7" s="13" t="str">
        <x:v>Build API, web and all runner images; run smoke and isolation tests; retain logs.</x:v>
      </x:c>
      <x:c r="L7" s="13" t="str">
        <x:v>Production requirement</x:v>
      </x:c>
      <x:c r="M7" s="13" t="str">
        <x:v>B01</x:v>
      </x:c>
      <x:c r="N7" s="14" t="d">
        <x:v>2026-10-22T00:00:00.000Z</x:v>
      </x:c>
    </x:row>
    <x:row r="8" ht="66" customHeight="1">
      <x:c r="A8" s="15" t="str">
        <x:v>ENV-002</x:v>
      </x:c>
      <x:c r="B8" s="13" t="str">
        <x:v>AWS account deployment and infrastructure verification</x:v>
      </x:c>
      <x:c r="C8" s="13" t="str">
        <x:v>External access and environment</x:v>
      </x:c>
      <x:c r="D8" s="13" t="str">
        <x:v>External</x:v>
      </x:c>
      <x:c r="E8" s="16" t="str">
        <x:v>Blocked</x:v>
      </x:c>
      <x:c r="F8" s="13" t="str">
        <x:v>P00</x:v>
      </x:c>
      <x:c r="G8" s="13" t="str">
        <x:v>P0</x:v>
      </x:c>
      <x:c r="H8" s="13" t="str">
        <x:v>Owner supplies AWS role; Codex provisions/tests</x:v>
      </x:c>
      <x:c r="I8" s="13" t="str">
        <x:v>Six AWS stacks synthesize offline; no AWS account/deployment role supplied.</x:v>
      </x:c>
      <x:c r="J8" s="13" t="str">
        <x:v>Owner supplies a scoped role/CI OIDC setup and account budget. Infrastructure code can proceed.</x:v>
      </x:c>
      <x:c r="K8" s="13" t="str">
        <x:v>Assume approved role; apply staging infrastructure; record account/region privately and deployment outputs.</x:v>
      </x:c>
      <x:c r="L8" s="13" t="str">
        <x:v>Production requirement</x:v>
      </x:c>
      <x:c r="M8" s="13" t="str">
        <x:v>B02</x:v>
      </x:c>
      <x:c r="N8" s="14" t="d">
        <x:v>2026-10-22T00:00:00.000Z</x:v>
      </x:c>
    </x:row>
    <x:row r="9" ht="66" customHeight="1">
      <x:c r="A9" s="15" t="str">
        <x:v>ENV-003</x:v>
      </x:c>
      <x:c r="B9" s="13" t="str">
        <x:v>Real AI tools and chatbot provider verification</x:v>
      </x:c>
      <x:c r="C9" s="13" t="str">
        <x:v>External access and environment</x:v>
      </x:c>
      <x:c r="D9" s="13" t="str">
        <x:v>External</x:v>
      </x:c>
      <x:c r="E9" s="16" t="str">
        <x:v>Blocked</x:v>
      </x:c>
      <x:c r="F9" s="13" t="str">
        <x:v>P00</x:v>
      </x:c>
      <x:c r="G9" s="13" t="str">
        <x:v>P0</x:v>
      </x:c>
      <x:c r="H9" s="13" t="str">
        <x:v>Owner configures protected AI; Codex verifies</x:v>
      </x:c>
      <x:c r="I9" s="13" t="str">
        <x:v>Provider-neutral streaming adapter and mock contracts pass; no live secret/quota/model policy supplied.</x:v>
      </x:c>
      <x:c r="J9" s="13" t="str">
        <x:v>Provide an approved server secret and usable model quota. Adapter work does not require exposing a key.</x:v>
      </x:c>
      <x:c r="K9" s="13" t="str">
        <x:v>One real request per AI workflow and a follow-up chat succeed; usage reconciles; error cases verified.</x:v>
      </x:c>
      <x:c r="L9" s="13" t="str">
        <x:v>06-20,50-57; V1</x:v>
      </x:c>
      <x:c r="M9" s="13" t="str">
        <x:v>B03</x:v>
      </x:c>
      <x:c r="N9" s="14" t="d">
        <x:v>2026-10-22T00:00:00.000Z</x:v>
      </x:c>
    </x:row>
    <x:row r="10" ht="66" customHeight="1">
      <x:c r="A10" s="15" t="str">
        <x:v>ENV-004</x:v>
      </x:c>
      <x:c r="B10" s="13" t="str">
        <x:v>Live subscription, renewal and refund verification</x:v>
      </x:c>
      <x:c r="C10" s="13" t="str">
        <x:v>External access and environment</x:v>
      </x:c>
      <x:c r="D10" s="13" t="str">
        <x:v>External</x:v>
      </x:c>
      <x:c r="E10" s="16" t="str">
        <x:v>Blocked</x:v>
      </x:c>
      <x:c r="F10" s="13" t="str">
        <x:v>P00</x:v>
      </x:c>
      <x:c r="G10" s="13" t="str">
        <x:v>P0</x:v>
      </x:c>
      <x:c r="H10" s="13" t="str">
        <x:v>Owner configures merchant; Codex integrates/tests</x:v>
      </x:c>
      <x:c r="I10" s="13" t="str">
        <x:v>Paddle signature/checkout/portal source and contracts pass; merchant credentials and live-test authorization are absent.</x:v>
      </x:c>
      <x:c r="J10" s="13" t="str">
        <x:v>Approved merchant account, live price IDs, signing secret and controlled live test authorization required.</x:v>
      </x:c>
      <x:c r="K10" s="13" t="str">
        <x:v>Live payment, entitlement, cancellation and refund reconcile against signed provider events.</x:v>
      </x:c>
      <x:c r="L10" s="13" t="str">
        <x:v>27-30</x:v>
      </x:c>
      <x:c r="M10" s="13" t="str">
        <x:v>B04</x:v>
      </x:c>
      <x:c r="N10" s="14" t="d">
        <x:v>2026-10-22T00:00:00.000Z</x:v>
      </x:c>
    </x:row>
    <x:row r="11" ht="66" customHeight="1">
      <x:c r="A11" s="15" t="str">
        <x:v>ENV-005</x:v>
      </x:c>
      <x:c r="B11" s="13" t="str">
        <x:v>Production domain and DNS control</x:v>
      </x:c>
      <x:c r="C11" s="13" t="str">
        <x:v>External access and environment</x:v>
      </x:c>
      <x:c r="D11" s="13" t="str">
        <x:v>External</x:v>
      </x:c>
      <x:c r="E11" s="16" t="str">
        <x:v>Blocked</x:v>
      </x:c>
      <x:c r="F11" s="13" t="str">
        <x:v>P00</x:v>
      </x:c>
      <x:c r="G11" s="13" t="str">
        <x:v>P0</x:v>
      </x:c>
      <x:c r="H11" s="13" t="str">
        <x:v>Owner chooses domain/DNS; Codex configures</x:v>
      </x:c>
      <x:c r="I11" s="13" t="str">
        <x:v>Only the generated owner-private Site domain exists; no owned production domain supplied.</x:v>
      </x:c>
      <x:c r="J11" s="13" t="str">
        <x:v>Owner selects a domain and supplies DNS control through its normal account.</x:v>
      </x:c>
      <x:c r="K11" s="13" t="str">
        <x:v>TLS works on apex/app domains; redirects, email records and DNS rollback are verified.</x:v>
      </x:c>
      <x:c r="L11" s="13" t="str">
        <x:v>Production requirement</x:v>
      </x:c>
      <x:c r="M11" s="13" t="str">
        <x:v>B05</x:v>
      </x:c>
      <x:c r="N11" s="14" t="d">
        <x:v>2026-10-22T00:00:00.000Z</x:v>
      </x:c>
    </x:row>
    <x:row r="12" ht="66" customHeight="1">
      <x:c r="A12" s="15" t="str">
        <x:v>ENV-006</x:v>
      </x:c>
      <x:c r="B12" s="13" t="str">
        <x:v>Google and GitHub production OAuth credentials</x:v>
      </x:c>
      <x:c r="C12" s="13" t="str">
        <x:v>External access and environment</x:v>
      </x:c>
      <x:c r="D12" s="13" t="str">
        <x:v>External</x:v>
      </x:c>
      <x:c r="E12" s="16" t="str">
        <x:v>Blocked</x:v>
      </x:c>
      <x:c r="F12" s="13" t="str">
        <x:v>P00</x:v>
      </x:c>
      <x:c r="G12" s="13" t="str">
        <x:v>P0</x:v>
      </x:c>
      <x:c r="H12" s="13" t="str">
        <x:v>Owner registers OAuth apps; Codex verifies</x:v>
      </x:c>
      <x:c r="I12" s="13" t="str">
        <x:v>Google/GitHub adapters and fixtures pass; owner production OAuth applications are missing.</x:v>
      </x:c>
      <x:c r="J12" s="13" t="str">
        <x:v>Create owner-controlled OAuth applications with verified production callback URLs.</x:v>
      </x:c>
      <x:c r="K12" s="13" t="str">
        <x:v>Both real login flows and safe account linking work on the production domain.</x:v>
      </x:c>
      <x:c r="L12" s="13" t="str">
        <x:v>46</x:v>
      </x:c>
      <x:c r="M12" s="13" t="str">
        <x:v>B06</x:v>
      </x:c>
      <x:c r="N12" s="14" t="d">
        <x:v>2026-10-22T00:00:00.000Z</x:v>
      </x:c>
    </x:row>
    <x:row r="13" ht="66" customHeight="1">
      <x:c r="A13" s="15" t="str">
        <x:v>ENV-007</x:v>
      </x:c>
      <x:c r="B13" s="13" t="str">
        <x:v>Transactional email delivery and sender approval</x:v>
      </x:c>
      <x:c r="C13" s="13" t="str">
        <x:v>External access and environment</x:v>
      </x:c>
      <x:c r="D13" s="13" t="str">
        <x:v>External</x:v>
      </x:c>
      <x:c r="E13" s="16" t="str">
        <x:v>Blocked</x:v>
      </x:c>
      <x:c r="F13" s="13" t="str">
        <x:v>P00</x:v>
      </x:c>
      <x:c r="G13" s="13" t="str">
        <x:v>P0</x:v>
      </x:c>
      <x:c r="H13" s="13" t="str">
        <x:v>Owner supplies sender/mailbox; Codex verifies</x:v>
      </x:c>
      <x:c r="I13" s="13" t="str">
        <x:v>SES OTP source is implemented; verified sender, SES production access and support delivery are missing.</x:v>
      </x:c>
      <x:c r="J13" s="13" t="str">
        <x:v>Verify sender domain and request SES production access; configure bounce/complaint handling.</x:v>
      </x:c>
      <x:c r="K13" s="13" t="str">
        <x:v>OTP and support messages reach permitted external inboxes; expired codes and delivery failure handled.</x:v>
      </x:c>
      <x:c r="L13" s="13" t="str">
        <x:v>34-35,46</x:v>
      </x:c>
      <x:c r="M13" s="13" t="str">
        <x:v>B07</x:v>
      </x:c>
      <x:c r="N13" s="14" t="d">
        <x:v>2026-10-22T00:00:00.000Z</x:v>
      </x:c>
    </x:row>
    <x:row r="14" ht="66" customHeight="1">
      <x:c r="A14" s="15" t="str">
        <x:v>ENV-008</x:v>
      </x:c>
      <x:c r="B14" s="13" t="str">
        <x:v>Business, country, pricing and policy approval</x:v>
      </x:c>
      <x:c r="C14" s="13" t="str">
        <x:v>External access and environment</x:v>
      </x:c>
      <x:c r="D14" s="13" t="str">
        <x:v>External</x:v>
      </x:c>
      <x:c r="E14" s="16" t="str">
        <x:v>Blocked</x:v>
      </x:c>
      <x:c r="F14" s="13" t="str">
        <x:v>P00</x:v>
      </x:c>
      <x:c r="G14" s="13" t="str">
        <x:v>P0</x:v>
      </x:c>
      <x:c r="H14" s="13" t="str">
        <x:v>Owner approves commitments; Codex implements</x:v>
      </x:c>
      <x:c r="I14" s="13" t="str">
        <x:v>Proposed catalog and closed policy/gate configuration exist; business/country/pricing/fair-use/refund/retention decisions are unapproved.</x:v>
      </x:c>
      <x:c r="J14" s="13" t="str">
        <x:v>Owner supplies business identity, merchant eligibility, supported countries, refund and retention decisions.</x:v>
      </x:c>
      <x:c r="K14" s="13" t="str">
        <x:v>Published terms, country eligibility, prices and data practices match approved operating configuration.</x:v>
      </x:c>
      <x:c r="L14" s="13" t="str">
        <x:v>27-41; inventory advertised capabilities</x:v>
      </x:c>
      <x:c r="M14" s="13" t="str">
        <x:v>B08</x:v>
      </x:c>
      <x:c r="N14" s="14" t="d">
        <x:v>2026-10-22T00:00:00.000Z</x:v>
      </x:c>
    </x:row>
    <x:row r="15" ht="66" customHeight="1">
      <x:c r="A15" s="15" t="str">
        <x:v>ENV-010</x:v>
      </x:c>
      <x:c r="B15" s="13" t="str">
        <x:v>CI repository and deployment-role trust</x:v>
      </x:c>
      <x:c r="C15" s="13" t="str">
        <x:v>External access and environment</x:v>
      </x:c>
      <x:c r="D15" s="13" t="str">
        <x:v>External</x:v>
      </x:c>
      <x:c r="E15" s="16" t="str">
        <x:v>Blocked</x:v>
      </x:c>
      <x:c r="F15" s="13" t="str">
        <x:v>P00</x:v>
      </x:c>
      <x:c r="G15" s="13" t="str">
        <x:v>P0</x:v>
      </x:c>
      <x:c r="H15" s="13" t="str">
        <x:v>Owner selects protected repo/trust; Codex runs CI</x:v>
      </x:c>
      <x:c r="I15" s="13" t="str">
        <x:v>Scoped OIDC/workflow source is prepared; protected owner CI environment has not been configured.</x:v>
      </x:c>
      <x:c r="J15" s="13" t="str">
        <x:v>Choose owner repository/CI and authorize a narrowly scoped AWS OIDC trust policy. CI files can be written beforehand.</x:v>
      </x:c>
      <x:c r="K15" s="13" t="str">
        <x:v>Protected production workflow obtains short-lived credentials and only deploys approved artifacts.</x:v>
      </x:c>
      <x:c r="L15" s="13" t="str">
        <x:v>Production requirement</x:v>
      </x:c>
      <x:c r="M15" s="13" t="str">
        <x:v>B09</x:v>
      </x:c>
      <x:c r="N15" s="14" t="d">
        <x:v>2026-10-22T00:00:00.000Z</x:v>
      </x:c>
    </x:row>
    <x:row r="16" ht="66" customHeight="1">
      <x:c r="A16" s="15" t="str">
        <x:v>QAS-006</x:v>
      </x:c>
      <x:c r="B16" s="13" t="str">
        <x:v>Live low-value payment and refund verification</x:v>
      </x:c>
      <x:c r="C16" s="13" t="str">
        <x:v>Quality and release verification</x:v>
      </x:c>
      <x:c r="D16" s="13" t="str">
        <x:v>Production</x:v>
      </x:c>
      <x:c r="E16" s="16" t="str">
        <x:v>Blocked</x:v>
      </x:c>
      <x:c r="F16" s="13" t="str">
        <x:v>P10</x:v>
      </x:c>
      <x:c r="G16" s="13" t="str">
        <x:v>P0</x:v>
      </x:c>
      <x:c r="H16" s="13" t="str">
        <x:v>QA / Engineering</x:v>
      </x:c>
      <x:c r="I16" s="13" t="str">
        <x:v>No approved merchant/live testing authorization</x:v>
      </x:c>
      <x:c r="J16" s="13" t="str">
        <x:v>Run owner-authorized live purchase/refund after sandbox gates; do not fabricate proof.</x:v>
      </x:c>
      <x:c r="K16" s="13" t="str">
        <x:v>Retain private evidence linking payment event, entitlement, invoice and refund.</x:v>
      </x:c>
      <x:c r="L16" s="13" t="str">
        <x:v>Production requirement</x:v>
      </x:c>
      <x:c r="M16" s="13" t="str">
        <x:v>B04</x:v>
      </x:c>
      <x:c r="N16" s="14" t="d">
        <x:v>2026-10-22T00:00:00.000Z</x:v>
      </x:c>
    </x:row>
    <x:row r="17" ht="66" customHeight="1">
      <x:c r="A17" s="15" t="str">
        <x:v>API-003</x:v>
      </x:c>
      <x:c r="B17" s="13" t="str">
        <x:v>OpenAPI specification and typed web client</x:v>
      </x:c>
      <x:c r="C17" s="13" t="str">
        <x:v>Portable backend contracts</x:v>
      </x:c>
      <x:c r="D17" s="13" t="str">
        <x:v>Production</x:v>
      </x:c>
      <x:c r="E17" s="16" t="str">
        <x:v>Partial</x:v>
      </x:c>
      <x:c r="F17" s="13" t="str">
        <x:v>P01</x:v>
      </x:c>
      <x:c r="G17" s="13" t="str">
        <x:v>P0</x:v>
      </x:c>
      <x:c r="H17" s="13" t="str">
        <x:v>Codex owns remaining engineering; owner supplies listed external gates</x:v>
      </x:c>
      <x:c r="I17" s="13" t="str">
        <x:v>OpenAPI route and browser transport now include preferences, result versions, history jobs and file provenance.</x:v>
      </x:c>
      <x:c r="J17" s="13" t="str">
        <x:v>Replace broad response envelopes/default-any client results with complete typed endpoint response contracts and generation/validation.</x:v>
      </x:c>
      <x:c r="K17" s="13" t="str">
        <x:v>Frontend and API agree on error, pagination, idempotency and SSE payload contracts.</x:v>
      </x:c>
      <x:c r="L17" s="13" t="str">
        <x:v>Production requirement</x:v>
      </x:c>
      <x:c r="M17" s="13" t="str"/>
      <x:c r="N17" s="14" t="d">
        <x:v>2026-10-22T00:00:00.000Z</x:v>
      </x:c>
    </x:row>
    <x:row r="18" ht="66" customHeight="1">
      <x:c r="A18" s="15" t="str">
        <x:v>AUT-001</x:v>
      </x:c>
      <x:c r="B18" s="13" t="str">
        <x:v>Portable public signup, login and logout</x:v>
      </x:c>
      <x:c r="C18" s="13" t="str">
        <x:v>Authentication and accounts</x:v>
      </x:c>
      <x:c r="D18" s="13" t="str">
        <x:v>Reference</x:v>
      </x:c>
      <x:c r="E18" s="16" t="str">
        <x:v>Partial</x:v>
      </x:c>
      <x:c r="F18" s="13" t="str">
        <x:v>P02</x:v>
      </x:c>
      <x:c r="G18" s="13" t="str">
        <x:v>P0</x:v>
      </x:c>
      <x:c r="H18" s="13" t="str">
        <x:v>Codex owns remaining engineering; owner supplies listed external gates</x:v>
      </x:c>
      <x:c r="I18" s="13" t="str">
        <x:v>Current app relies on Sites owner-private authentication</x:v>
      </x:c>
      <x:c r="J18" s="13" t="str">
        <x:v>Implement AWS-portable sessions and remove dependence on trusted Sites identity headers.</x:v>
      </x:c>
      <x:c r="K18" s="13" t="str">
        <x:v>Account lifecycle works outside ChatGPT; forged oai-authenticated-user-id grants no access.</x:v>
      </x:c>
      <x:c r="L18" s="13" t="str">
        <x:v>46; current app/chatgpt-auth.ts</x:v>
      </x:c>
      <x:c r="M18" s="13" t="str"/>
      <x:c r="N18" s="14" t="d">
        <x:v>2026-10-22T00:00:00.000Z</x:v>
      </x:c>
    </x:row>
    <x:row r="19" ht="66" customHeight="1">
      <x:c r="A19" s="15" t="str">
        <x:v>AUT-007</x:v>
      </x:c>
      <x:c r="B19" s="13" t="str">
        <x:v>Account profile, preferences and notification settings</x:v>
      </x:c>
      <x:c r="C19" s="13" t="str">
        <x:v>Authentication and accounts</x:v>
      </x:c>
      <x:c r="D19" s="13" t="str">
        <x:v>Reference</x:v>
      </x:c>
      <x:c r="E19" s="16" t="str">
        <x:v>Implemented</x:v>
      </x:c>
      <x:c r="F19" s="13" t="str">
        <x:v>P02</x:v>
      </x:c>
      <x:c r="G19" s="13" t="str">
        <x:v>P0</x:v>
      </x:c>
      <x:c r="H19" s="13" t="str">
        <x:v>Codex / CI</x:v>
      </x:c>
      <x:c r="I19" s="13" t="str">
        <x:v>Account profile, display name, notification/editor/history preferences and pins round-trip through owned API sessions; completion.test.ts includes an independent second session.</x:v>
      </x:c>
      <x:c r="J19" s="13" t="str"/>
      <x:c r="K19" s="13" t="str">
        <x:v>Settings survive cross-device login and cannot update another account.</x:v>
      </x:c>
      <x:c r="L19" s="13" t="str">
        <x:v>V1; advertised</x:v>
      </x:c>
      <x:c r="M19" s="13" t="str"/>
      <x:c r="N19" s="14" t="d">
        <x:v>2026-10-22T00:00:00.000Z</x:v>
      </x:c>
    </x:row>
    <x:row r="20" ht="66" customHeight="1">
      <x:c r="A20" s="15" t="str">
        <x:v>AUT-008</x:v>
      </x:c>
      <x:c r="B20" s="13" t="str">
        <x:v>Account export and deletion</x:v>
      </x:c>
      <x:c r="C20" s="13" t="str">
        <x:v>Authentication and accounts</x:v>
      </x:c>
      <x:c r="D20" s="13" t="str">
        <x:v>Reference</x:v>
      </x:c>
      <x:c r="E20" s="16" t="str">
        <x:v>Partial</x:v>
      </x:c>
      <x:c r="F20" s="13" t="str">
        <x:v>P02</x:v>
      </x:c>
      <x:c r="G20" s="13" t="str">
        <x:v>P0</x:v>
      </x:c>
      <x:c r="H20" s="13" t="str">
        <x:v>Codex owns remaining engineering; owner supplies listed external gates</x:v>
      </x:c>
      <x:c r="I20" s="13" t="str">
        <x:v>Account exports reuse the pending job on retry. Deletion guards active entitlements and unresolved checkout intents before revoking access. Billing/deletion/checkout share a lifecycle lock.</x:v>
      </x:c>
      <x:c r="J20" s="13" t="str">
        <x:v>Complete merchant cancellation/reconciliation handoff, durable export recovery after full reload, and deployed deletion/backup acceptance.</x:v>
      </x:c>
      <x:c r="K20" s="13" t="str">
        <x:v>Deletion removes active user data and access; backup expiry and legally retained records are explained.</x:v>
      </x:c>
      <x:c r="L20" s="13" t="str">
        <x:v>33,37-41; advertised</x:v>
      </x:c>
      <x:c r="M20" s="13" t="str">
        <x:v>B02/B04/B08</x:v>
      </x:c>
      <x:c r="N20" s="14" t="d">
        <x:v>2026-10-22T00:00:00.000Z</x:v>
      </x:c>
    </x:row>
    <x:row r="21" ht="66" customHeight="1">
      <x:c r="A21" s="15" t="str">
        <x:v>DAT-004</x:v>
      </x:c>
      <x:c r="B21" s="13" t="str">
        <x:v>Files, revisions, extraction and share records</x:v>
      </x:c>
      <x:c r="C21" s="13" t="str">
        <x:v>Database and durable jobs</x:v>
      </x:c>
      <x:c r="D21" s="13" t="str">
        <x:v>Production</x:v>
      </x:c>
      <x:c r="E21" s="16" t="str">
        <x:v>Partial</x:v>
      </x:c>
      <x:c r="F21" s="13" t="str">
        <x:v>P02</x:v>
      </x:c>
      <x:c r="G21" s="13" t="str">
        <x:v>P0</x:v>
      </x:c>
      <x:c r="H21" s="13" t="str">
        <x:v>Codex owns remaining engineering; owner supplies listed external gates</x:v>
      </x:c>
      <x:c r="I21" s="13" t="str">
        <x:v>BUILD-01: Tenant-scoped file/revision/extraction/share tables, text-object lifecycle, retry keys, tombstones and durable delete jobs. Failed writes and ownership fixtures pass.</x:v>
      </x:c>
      <x:c r="J21" s="13" t="str">
        <x:v>Implement revision-update/download/share-resolution APIs, S3 adapter and secure multi-format extraction. Verify S3 lifecycle on AWS.</x:v>
      </x:c>
      <x:c r="K21" s="13" t="str">
        <x:v>Object lifecycle and ownership survive retries and deletion events.</x:v>
      </x:c>
      <x:c r="L21" s="13" t="str">
        <x:v>33,37; advertised</x:v>
      </x:c>
      <x:c r="M21" s="13" t="str">
        <x:v>B02</x:v>
      </x:c>
      <x:c r="N21" s="14" t="d">
        <x:v>2026-10-22T00:00:00.000Z</x:v>
      </x:c>
    </x:row>
    <x:row r="22" ht="66" customHeight="1">
      <x:c r="A22" s="15" t="str">
        <x:v>DAT-005</x:v>
      </x:c>
      <x:c r="B22" s="13" t="str">
        <x:v>Plans, prices, subscriptions and provider events</x:v>
      </x:c>
      <x:c r="C22" s="13" t="str">
        <x:v>Database and durable jobs</x:v>
      </x:c>
      <x:c r="D22" s="13" t="str">
        <x:v>Production</x:v>
      </x:c>
      <x:c r="E22" s="16" t="str">
        <x:v>Partial</x:v>
      </x:c>
      <x:c r="F22" s="13" t="str">
        <x:v>P02</x:v>
      </x:c>
      <x:c r="G22" s="13" t="str">
        <x:v>P0</x:v>
      </x:c>
      <x:c r="H22" s="13" t="str">
        <x:v>Codex owns remaining engineering; owner supplies listed external gates</x:v>
      </x:c>
      <x:c r="I22" s="13" t="str">
        <x:v>BUILD-01: Plans/prices/subscriptions/event inbox plus a trusted verified-event service. Replayed/tampered/stale events and repeated period grants are tested.</x:v>
      </x:c>
      <x:c r="J22" s="13" t="str">
        <x:v>Verify native concurrent event processing. Add merchant signature adapter and approved plan-change/proration rules; run payment gates.</x:v>
      </x:c>
      <x:c r="K22" s="13" t="str">
        <x:v>Duplicate provider events and period grants are harmless under concurrent processing.</x:v>
      </x:c>
      <x:c r="L22" s="13" t="str">
        <x:v>27-30</x:v>
      </x:c>
      <x:c r="M22" s="13" t="str">
        <x:v>B01</x:v>
      </x:c>
      <x:c r="N22" s="14" t="d">
        <x:v>2026-10-22T00:00:00.000Z</x:v>
      </x:c>
    </x:row>
    <x:row r="23" ht="66" customHeight="1">
      <x:c r="A23" s="15" t="str">
        <x:v>DAT-006</x:v>
      </x:c>
      <x:c r="B23" s="13" t="str">
        <x:v>Usage reservations and append-only allowance ledger</x:v>
      </x:c>
      <x:c r="C23" s="13" t="str">
        <x:v>Database and durable jobs</x:v>
      </x:c>
      <x:c r="D23" s="13" t="str">
        <x:v>Production</x:v>
      </x:c>
      <x:c r="E23" s="16" t="str">
        <x:v>Partial</x:v>
      </x:c>
      <x:c r="F23" s="13" t="str">
        <x:v>P02</x:v>
      </x:c>
      <x:c r="G23" s="13" t="str">
        <x:v>P0</x:v>
      </x:c>
      <x:c r="H23" s="13" t="str">
        <x:v>Codex owns remaining engineering; owner supplies listed external gates</x:v>
      </x:c>
      <x:c r="I23" s="13" t="str">
        <x:v>BUILD-01: Reserved/consumed/granted accounts and immutable ledger. Request races, rollback, once-only settlement/release and ledger reconciliation pass on PGlite.</x:v>
      </x:c>
      <x:c r="J23" s="13" t="str">
        <x:v>Run the native multi-connection suite and contention/failure fixtures. PGlite serializes transactions and cannot prove PostgreSQL replica behavior.</x:v>
      </x:c>
      <x:c r="K23" s="13" t="str">
        <x:v>Race/replay fixtures reconcile the same balance without negative spendable allowance.</x:v>
      </x:c>
      <x:c r="L23" s="13" t="str">
        <x:v>Production requirement</x:v>
      </x:c>
      <x:c r="M23" s="13" t="str">
        <x:v>B01</x:v>
      </x:c>
      <x:c r="N23" s="14" t="d">
        <x:v>2026-10-22T00:00:00.000Z</x:v>
      </x:c>
    </x:row>
    <x:row r="24" ht="66" customHeight="1">
      <x:c r="A24" s="15" t="str">
        <x:v>EDT-003</x:v>
      </x:c>
      <x:c r="B24" s="13" t="str">
        <x:v>Syntax highlighting in editable source panels</x:v>
      </x:c>
      <x:c r="C24" s="13" t="str">
        <x:v>Shared editor and result controls</x:v>
      </x:c>
      <x:c r="D24" s="13" t="str">
        <x:v>Reference</x:v>
      </x:c>
      <x:c r="E24" s="16" t="str">
        <x:v>Partial</x:v>
      </x:c>
      <x:c r="F24" s="13" t="str">
        <x:v>P03</x:v>
      </x:c>
      <x:c r="G24" s="13" t="str">
        <x:v>P0</x:v>
      </x:c>
      <x:c r="H24" s="13" t="str">
        <x:v>Codex owns remaining engineering; owner supplies listed external gates</x:v>
      </x:c>
      <x:c r="I24" s="13" t="str">
        <x:v>app/studio-editor.tsx uses maintained CodeMirror grammars, scroll/history/indentation and explicit accessible plain-text fallback; browser syntax check passes.</x:v>
      </x:c>
      <x:c r="J24" s="13" t="str">
        <x:v>Complete syntax grammar/color coverage for the entire 72-language catalog and replace generic output highlighting where required.</x:v>
      </x:c>
      <x:c r="K24" s="13" t="str">
        <x:v>Source and output coloring, indentation and scrolling work for the advertised language catalog.</x:v>
      </x:c>
      <x:c r="L24" s="13" t="str">
        <x:v>06-26,49-57</x:v>
      </x:c>
      <x:c r="M24" s="13" t="str"/>
      <x:c r="N24" s="14" t="d">
        <x:v>2026-10-22T00:00:00.000Z</x:v>
      </x:c>
    </x:row>
    <x:row r="25" ht="66" customHeight="1">
      <x:c r="A25" s="15" t="str">
        <x:v>EDT-004</x:v>
      </x:c>
      <x:c r="B25" s="13" t="str">
        <x:v>Line numbers and editor preferences</x:v>
      </x:c>
      <x:c r="C25" s="13" t="str">
        <x:v>Shared editor and result controls</x:v>
      </x:c>
      <x:c r="D25" s="13" t="str">
        <x:v>Reference</x:v>
      </x:c>
      <x:c r="E25" s="16" t="str">
        <x:v>Implemented</x:v>
      </x:c>
      <x:c r="F25" s="13" t="str">
        <x:v>P03</x:v>
      </x:c>
      <x:c r="G25" s="13" t="str">
        <x:v>P0</x:v>
      </x:c>
      <x:c r="H25" s="13" t="str">
        <x:v>Codex / CI</x:v>
      </x:c>
      <x:c r="I25" s="13" t="str">
        <x:v>CodeMirror gutters share editor scrolling; theme/font/line-number controls and accessible plain-text fallback are connected to account preferences.</x:v>
      </x:c>
      <x:c r="J25" s="13" t="str"/>
      <x:c r="K25" s="13" t="str">
        <x:v>Line numbers and font settings remain aligned while scrolling and switching tools.</x:v>
      </x:c>
      <x:c r="L25" s="13" t="str">
        <x:v>08,21,49</x:v>
      </x:c>
      <x:c r="M25" s="13" t="str"/>
      <x:c r="N25" s="14" t="d">
        <x:v>2026-10-22T00:00:00.000Z</x:v>
      </x:c>
    </x:row>
    <x:row r="26" ht="68" customHeight="1">
      <x:c r="A26" s="15" t="str">
        <x:v>EDT-005</x:v>
      </x:c>
      <x:c r="B26" s="13" t="str">
        <x:v>Expanded input/output editor views</x:v>
      </x:c>
      <x:c r="C26" s="13" t="str">
        <x:v>Shared editor and result controls</x:v>
      </x:c>
      <x:c r="D26" s="13" t="str">
        <x:v>Reference</x:v>
      </x:c>
      <x:c r="E26" s="16" t="str">
        <x:v>Implemented</x:v>
      </x:c>
      <x:c r="F26" s="13" t="str">
        <x:v>P03</x:v>
      </x:c>
      <x:c r="G26" s="13" t="str">
        <x:v>P0</x:v>
      </x:c>
      <x:c r="H26" s="13" t="str">
        <x:v>Codex / CI</x:v>
      </x:c>
      <x:c r="I26" s="13" t="str">
        <x:v>Expanded input/output containers have dialog semantics, Escape/Tab handling, scroll lock and focus restoration. Browser verified Escape and content preservation; CodeMirror instance retains selection.</x:v>
      </x:c>
      <x:c r="J26" s="13" t="str"/>
      <x:c r="K26" s="13" t="str">
        <x:v>Every expanded view supports keyboard close and preserves content and selection.</x:v>
      </x:c>
      <x:c r="L26" s="13" t="str">
        <x:v>08,56-57</x:v>
      </x:c>
      <x:c r="M26" s="13" t="str"/>
      <x:c r="N26" s="14" t="d">
        <x:v>2026-10-22T00:00:00.000Z</x:v>
      </x:c>
    </x:row>
    <x:row r="27" ht="66" customHeight="1">
      <x:c r="A27" s="15" t="str">
        <x:v>EDT-007</x:v>
      </x:c>
      <x:c r="B27" s="13" t="str">
        <x:v>Code copy and correct file-extension downloads</x:v>
      </x:c>
      <x:c r="C27" s="13" t="str">
        <x:v>Shared editor and result controls</x:v>
      </x:c>
      <x:c r="D27" s="13" t="str">
        <x:v>Reference</x:v>
      </x:c>
      <x:c r="E27" s="16" t="str">
        <x:v>Implemented</x:v>
      </x:c>
      <x:c r="F27" s="13" t="str">
        <x:v>P03</x:v>
      </x:c>
      <x:c r="G27" s="13" t="str">
        <x:v>P0</x:v>
      </x:c>
      <x:c r="H27" s="13" t="str">
        <x:v>Codex / CI</x:v>
      </x:c>
      <x:c r="I27" s="13" t="str">
        <x:v>All 72 selectable languages have explicit download extensions. Code/fixed-code copy and safe constant filenames preserve the selected result; extension matrix test passes.</x:v>
      </x:c>
      <x:c r="J27" s="13" t="str"/>
      <x:c r="K27" s="13" t="str">
        <x:v>Every supported code output copies/downloads accurately with a safe filename.</x:v>
      </x:c>
      <x:c r="L27" s="13" t="str">
        <x:v>09,50-55</x:v>
      </x:c>
      <x:c r="M27" s="13" t="str"/>
      <x:c r="N27" s="14" t="d">
        <x:v>2026-10-22T00:00:00.000Z</x:v>
      </x:c>
    </x:row>
    <x:row r="28" ht="66" customHeight="1">
      <x:c r="A28" s="15" t="str">
        <x:v>EDT-009</x:v>
      </x:c>
      <x:c r="B28" s="13" t="str">
        <x:v>Markdown copy and .md downloads</x:v>
      </x:c>
      <x:c r="C28" s="13" t="str">
        <x:v>Shared editor and result controls</x:v>
      </x:c>
      <x:c r="D28" s="13" t="str">
        <x:v>Reference</x:v>
      </x:c>
      <x:c r="E28" s="16" t="str">
        <x:v>Implemented</x:v>
      </x:c>
      <x:c r="F28" s="13" t="str">
        <x:v>P03</x:v>
      </x:c>
      <x:c r="G28" s="13" t="str">
        <x:v>P0</x:v>
      </x:c>
      <x:c r="H28" s="13" t="str">
        <x:v>Codex / CI</x:v>
      </x:c>
      <x:c r="I28" s="13" t="str">
        <x:v>Explanation/review exports use .md and copy the same raw Markdown, preserving headings and fenced examples. Safe rendered preview remains separate.</x:v>
      </x:c>
      <x:c r="J28" s="13" t="str"/>
      <x:c r="K28" s="13" t="str">
        <x:v>Markdown export contains headings, fences and examples; rendered UI copy is defined consistently.</x:v>
      </x:c>
      <x:c r="L28" s="13" t="str">
        <x:v>53-54,56-57</x:v>
      </x:c>
      <x:c r="M28" s="13" t="str"/>
      <x:c r="N28" s="14" t="d">
        <x:v>2026-10-22T00:00:00.000Z</x:v>
      </x:c>
    </x:row>
    <x:row r="29" ht="68" customHeight="1">
      <x:c r="A29" s="15" t="str">
        <x:v>EDT-010</x:v>
      </x:c>
      <x:c r="B29" s="13" t="str">
        <x:v>Per-plan counters and input limits</x:v>
      </x:c>
      <x:c r="C29" s="13" t="str">
        <x:v>Shared editor and result controls</x:v>
      </x:c>
      <x:c r="D29" s="13" t="str">
        <x:v>Reference</x:v>
      </x:c>
      <x:c r="E29" s="16" t="str">
        <x:v>Implemented</x:v>
      </x:c>
      <x:c r="F29" s="13" t="str">
        <x:v>P03</x:v>
      </x:c>
      <x:c r="G29" s="13" t="str">
        <x:v>P0</x:v>
      </x:c>
      <x:c r="H29" s="13" t="str">
        <x:v>Codex / CI</x:v>
      </x:c>
      <x:c r="I29" s="13" t="str">
        <x:v>Unicode code-point counters and effective source cap account for instructions/selected file text. Server validates plan context; 25,000 astral-character boundary tests pass. Private preview AI cap is 4,000.</x:v>
      </x:c>
      <x:c r="J29" s="13" t="str"/>
      <x:c r="K29" s="13" t="str">
        <x:v>Counter, editor cap and server rejection agree on Unicode counting and selected plan.</x:v>
      </x:c>
      <x:c r="L29" s="13" t="str">
        <x:v>21,23,28,30; inventory</x:v>
      </x:c>
      <x:c r="M29" s="13" t="str"/>
      <x:c r="N29" s="14" t="d">
        <x:v>2026-10-22T00:00:00.000Z</x:v>
      </x:c>
    </x:row>
    <x:row r="30" ht="66" customHeight="1">
      <x:c r="A30" s="15" t="str">
        <x:v>EDT-011</x:v>
      </x:c>
      <x:c r="B30" s="13" t="str">
        <x:v>Progress, cancellation, errors and retry</x:v>
      </x:c>
      <x:c r="C30" s="13" t="str">
        <x:v>Shared editor and result controls</x:v>
      </x:c>
      <x:c r="D30" s="13" t="str">
        <x:v>Reference</x:v>
      </x:c>
      <x:c r="E30" s="16" t="str">
        <x:v>Partial</x:v>
      </x:c>
      <x:c r="F30" s="13" t="str">
        <x:v>P03</x:v>
      </x:c>
      <x:c r="G30" s="13" t="str">
        <x:v>P0</x:v>
      </x:c>
      <x:c r="H30" s="13" t="str">
        <x:v>Codex owns remaining engineering; owner supplies listed external gates</x:v>
      </x:c>
      <x:c r="I30" s="13" t="str">
        <x:v>Busy/AbortController and user-visible errors exist</x:v>
      </x:c>
      <x:c r="J30" s="13" t="str">
        <x:v>Add streaming progress and durable job states with retries that do not double charge.</x:v>
      </x:c>
      <x:c r="K30" s="13" t="str">
        <x:v>Cancellation and provider timeouts leave input intact and settle usage exactly once.</x:v>
      </x:c>
      <x:c r="L30" s="13" t="str">
        <x:v>09-10,26,50-57</x:v>
      </x:c>
      <x:c r="M30" s="13" t="str"/>
      <x:c r="N30" s="14" t="d">
        <x:v>2026-10-22T00:00:00.000Z</x:v>
      </x:c>
    </x:row>
    <x:row r="31" ht="66" customHeight="1">
      <x:c r="A31" s="15" t="str">
        <x:v>EDT-012</x:v>
      </x:c>
      <x:c r="B31" s="13" t="str">
        <x:v>Reference page-specific explanatory content</x:v>
      </x:c>
      <x:c r="C31" s="13" t="str">
        <x:v>Shared editor and result controls</x:v>
      </x:c>
      <x:c r="D31" s="13" t="str">
        <x:v>Reference</x:v>
      </x:c>
      <x:c r="E31" s="16" t="str">
        <x:v>Implemented</x:v>
      </x:c>
      <x:c r="F31" s="13" t="str">
        <x:v>P03</x:v>
      </x:c>
      <x:c r="G31" s="13" t="str">
        <x:v>P0</x:v>
      </x:c>
      <x:c r="H31" s="13" t="str">
        <x:v>Codex / CI</x:v>
      </x:c>
      <x:c r="I31" s="13" t="str">
        <x:v>Eight distinct ToolGuide descriptions, three-step workflows and examples replace generic page copy; all tool guides and observed pair routes are covered.</x:v>
      </x:c>
      <x:c r="J31" s="13" t="str"/>
      <x:c r="K31" s="13" t="str">
        <x:v>Each tool and pair page explains its actual operation and includes working examples.</x:v>
      </x:c>
      <x:c r="L31" s="13" t="str">
        <x:v>07,12,14,16,18,20,22,24,43,45</x:v>
      </x:c>
      <x:c r="M31" s="13" t="str"/>
      <x:c r="N31" s="14" t="d">
        <x:v>2026-10-22T00:00:00.000Z</x:v>
      </x:c>
    </x:row>
    <x:row r="32" ht="66" customHeight="1">
      <x:c r="A32" s="15" t="str">
        <x:v>WRK-003</x:v>
      </x:c>
      <x:c r="B32" s="13" t="str">
        <x:v>Personal workspace selection and home</x:v>
      </x:c>
      <x:c r="C32" s="13" t="str">
        <x:v>Signed-in workspace</x:v>
      </x:c>
      <x:c r="D32" s="13" t="str">
        <x:v>Reference</x:v>
      </x:c>
      <x:c r="E32" s="16" t="str">
        <x:v>Implemented</x:v>
      </x:c>
      <x:c r="F32" s="13" t="str">
        <x:v>P03</x:v>
      </x:c>
      <x:c r="G32" s="13" t="str">
        <x:v>P0</x:v>
      </x:c>
      <x:c r="H32" s="13" t="str">
        <x:v>Codex / CI</x:v>
      </x:c>
      <x:c r="I32" s="13" t="str">
        <x:v>Personal workspace button opens owned home; account display name and session-scoped server profile are used. Existing tenant-negative API fixtures remain passing.</x:v>
      </x:c>
      <x:c r="J32" s="13" t="str"/>
      <x:c r="K32" s="13" t="str">
        <x:v>User always reaches only their personal workspace and its permitted data.</x:v>
      </x:c>
      <x:c r="L32" s="13" t="str">
        <x:v>05; V1</x:v>
      </x:c>
      <x:c r="M32" s="13" t="str"/>
      <x:c r="N32" s="14" t="d">
        <x:v>2026-10-22T00:00:00.000Z</x:v>
      </x:c>
    </x:row>
    <x:row r="33" ht="66" customHeight="1">
      <x:c r="A33" s="15" t="str">
        <x:v>WRK-004</x:v>
      </x:c>
      <x:c r="B33" s="13" t="str">
        <x:v>Pinned tools and saved language pairs</x:v>
      </x:c>
      <x:c r="C33" s="13" t="str">
        <x:v>Signed-in workspace</x:v>
      </x:c>
      <x:c r="D33" s="13" t="str">
        <x:v>Reference</x:v>
      </x:c>
      <x:c r="E33" s="16" t="str">
        <x:v>Implemented</x:v>
      </x:c>
      <x:c r="F33" s="13" t="str">
        <x:v>P03</x:v>
      </x:c>
      <x:c r="G33" s="13" t="str">
        <x:v>P0</x:v>
      </x:c>
      <x:c r="H33" s="13" t="str">
        <x:v>Codex / CI</x:v>
      </x:c>
      <x:c r="I33" s="13" t="str">
        <x:v>Tool-specific and language-pair pins can be added, unpinned and reordered; saved account preferences and browser reload storage preserve order by stable pin value.</x:v>
      </x:c>
      <x:c r="J33" s="13" t="str"/>
      <x:c r="K33" s="13" t="str">
        <x:v>Pin/unpin and reorder survive reload and cross-device login.</x:v>
      </x:c>
      <x:c r="L33" s="13" t="str">
        <x:v>05; V1</x:v>
      </x:c>
      <x:c r="M33" s="13" t="str"/>
      <x:c r="N33" s="14" t="d">
        <x:v>2026-10-22T00:00:00.000Z</x:v>
      </x:c>
    </x:row>
    <x:row r="34" ht="66" customHeight="1">
      <x:c r="A34" s="15" t="str">
        <x:v>WRK-005</x:v>
      </x:c>
      <x:c r="B34" s="13" t="str">
        <x:v>Popular tools list</x:v>
      </x:c>
      <x:c r="C34" s="13" t="str">
        <x:v>Signed-in workspace</x:v>
      </x:c>
      <x:c r="D34" s="13" t="str">
        <x:v>Reference</x:v>
      </x:c>
      <x:c r="E34" s="16" t="str">
        <x:v>Implemented</x:v>
      </x:c>
      <x:c r="F34" s="13" t="str">
        <x:v>P03</x:v>
      </x:c>
      <x:c r="G34" s="13" t="str">
        <x:v>P1</x:v>
      </x:c>
      <x:c r="H34" s="13" t="str">
        <x:v>Codex / CI</x:v>
      </x:c>
      <x:c r="I34" s="13" t="str">
        <x:v>Popular tools are explicitly curated static shortcuts; they open configured tools and contain no other account content.</x:v>
      </x:c>
      <x:c r="J34" s="13" t="str"/>
      <x:c r="K34" s="13" t="str">
        <x:v>Popular entries open the configured tool and never expose other users code.</x:v>
      </x:c>
      <x:c r="L34" s="13" t="str">
        <x:v>05; advertised</x:v>
      </x:c>
      <x:c r="M34" s="13" t="str"/>
      <x:c r="N34" s="14" t="d">
        <x:v>2026-10-22T00:00:00.000Z</x:v>
      </x:c>
    </x:row>
    <x:row r="35" ht="66" customHeight="1">
      <x:c r="A35" s="15" t="str">
        <x:v>WRK-006</x:v>
      </x:c>
      <x:c r="B35" s="13" t="str">
        <x:v>Personal notes tied to results</x:v>
      </x:c>
      <x:c r="C35" s="13" t="str">
        <x:v>Signed-in workspace</x:v>
      </x:c>
      <x:c r="D35" s="13" t="str">
        <x:v>Reference</x:v>
      </x:c>
      <x:c r="E35" s="16" t="str">
        <x:v>Partial</x:v>
      </x:c>
      <x:c r="F35" s="13" t="str">
        <x:v>P03</x:v>
      </x:c>
      <x:c r="G35" s="13" t="str">
        <x:v>P0</x:v>
      </x:c>
      <x:c r="H35" s="13" t="str">
        <x:v>Codex owns remaining engineering; owner supplies listed external gates</x:v>
      </x:c>
      <x:c r="I35" s="13" t="str">
        <x:v>Owned optimistic notes remain tied to the active server run; history deletion now clears derived notes.</x:v>
      </x:c>
      <x:c r="J35" s="13" t="str">
        <x:v>Complete per-result local notes/version restoration and browser race scenarios across all local/remote tools.</x:v>
      </x:c>
      <x:c r="K35" s="13" t="str">
        <x:v>Switching results restores the correct note without overwriting another result.</x:v>
      </x:c>
      <x:c r="L35" s="13" t="str">
        <x:v>V1</x:v>
      </x:c>
      <x:c r="M35" s="13" t="str"/>
      <x:c r="N35" s="14" t="d">
        <x:v>2026-10-22T00:00:00.000Z</x:v>
      </x:c>
    </x:row>
    <x:row r="36" ht="66" customHeight="1">
      <x:c r="A36" s="15" t="str">
        <x:v>WRK-007</x:v>
      </x:c>
      <x:c r="B36" s="13" t="str">
        <x:v>Plan card, balance and account navigation</x:v>
      </x:c>
      <x:c r="C36" s="13" t="str">
        <x:v>Signed-in workspace</x:v>
      </x:c>
      <x:c r="D36" s="13" t="str">
        <x:v>Reference</x:v>
      </x:c>
      <x:c r="E36" s="16" t="str">
        <x:v>Partial</x:v>
      </x:c>
      <x:c r="F36" s="13" t="str">
        <x:v>P03</x:v>
      </x:c>
      <x:c r="G36" s="13" t="str">
        <x:v>P0</x:v>
      </x:c>
      <x:c r="H36" s="13" t="str">
        <x:v>Codex owns remaining engineering; owner supplies listed external gates</x:v>
      </x:c>
      <x:c r="I36" s="13" t="str">
        <x:v>Sidebar and billing usage now read current server entitlement, ledger balance and monthly credit refresh date instead of hardcoded Free.</x:v>
      </x:c>
      <x:c r="J36" s="13" t="str">
        <x:v>Verify UI after real paid activation, renewal, past-due and cancellation events in staging.</x:v>
      </x:c>
      <x:c r="K36" s="13" t="str">
        <x:v>Displayed plan and remaining quota match server ledger after a real signed billing update.</x:v>
      </x:c>
      <x:c r="L36" s="13" t="str">
        <x:v>05; V1</x:v>
      </x:c>
      <x:c r="M36" s="13" t="str">
        <x:v>B02/B04</x:v>
      </x:c>
      <x:c r="N36" s="14" t="d">
        <x:v>2026-10-22T00:00:00.000Z</x:v>
      </x:c>
    </x:row>
    <x:row r="37" ht="66" customHeight="1">
      <x:c r="A37" s="15" t="str">
        <x:v>CHT-002</x:v>
      </x:c>
      <x:c r="B37" s="13" t="str">
        <x:v>Contextual real follow-up chat</x:v>
      </x:c>
      <x:c r="C37" s="13" t="str">
        <x:v>Right-side AI chatbot</x:v>
      </x:c>
      <x:c r="D37" s="13" t="str">
        <x:v>Reference</x:v>
      </x:c>
      <x:c r="E37" s="16" t="str">
        <x:v>Blocked</x:v>
      </x:c>
      <x:c r="F37" s="13" t="str">
        <x:v>P04</x:v>
      </x:c>
      <x:c r="G37" s="13" t="str">
        <x:v>P0</x:v>
      </x:c>
      <x:c r="H37" s="13" t="str">
        <x:v>Owner supplies access/decision; Codex executes verification</x:v>
      </x:c>
      <x:c r="I37" s="13" t="str">
        <x:v>Chat adapter, bounded context and mock tests exist; no live secret Build03 review: remaining acceptance requires the named external gate; not represented as verified.</x:v>
      </x:c>
      <x:c r="J37" s="13" t="str">
        <x:v>Connect portable API and real-provider verification.</x:v>
      </x:c>
      <x:c r="K37" s="13" t="str">
        <x:v>New question uses current source/result and conversation; a real reply returns without fabricated execution.</x:v>
      </x:c>
      <x:c r="L37" s="13" t="str">
        <x:v>V1; advertised</x:v>
      </x:c>
      <x:c r="M37" s="13" t="str">
        <x:v>B03</x:v>
      </x:c>
      <x:c r="N37" s="14" t="d">
        <x:v>2026-10-22T00:00:00.000Z</x:v>
      </x:c>
    </x:row>
    <x:row r="38" ht="66" customHeight="1">
      <x:c r="A38" s="15" t="str">
        <x:v>CHT-004</x:v>
      </x:c>
      <x:c r="B38" s="13" t="str">
        <x:v>Current result and reference-file grounding</x:v>
      </x:c>
      <x:c r="C38" s="13" t="str">
        <x:v>Right-side AI chatbot</x:v>
      </x:c>
      <x:c r="D38" s="13" t="str">
        <x:v>Reference</x:v>
      </x:c>
      <x:c r="E38" s="16" t="str">
        <x:v>Implemented</x:v>
      </x:c>
      <x:c r="F38" s="13" t="str">
        <x:v>P04</x:v>
      </x:c>
      <x:c r="G38" s="13" t="str">
        <x:v>P0</x:v>
      </x:c>
      <x:c r="H38" s="13" t="str">
        <x:v>Codex / CI</x:v>
      </x:c>
      <x:c r="I38" s="13" t="str">
        <x:v>Current source/result bounds and omission disclosure, explicitly selected reference IDs, removable/inspectable cloud chat attachment and immutable server file snapshots are connected.</x:v>
      </x:c>
      <x:c r="J38" s="13" t="str"/>
      <x:c r="K38" s="13" t="str">
        <x:v>Only the current user selected files enter context and truncation/omissions are disclosed.</x:v>
      </x:c>
      <x:c r="L38" s="13" t="str">
        <x:v>V1; advertised</x:v>
      </x:c>
      <x:c r="M38" s="13" t="str"/>
      <x:c r="N38" s="14" t="d">
        <x:v>2026-10-22T00:00:00.000Z</x:v>
      </x:c>
    </x:row>
    <x:row r="39" ht="66" customHeight="1">
      <x:c r="A39" s="15" t="str">
        <x:v>CHT-005</x:v>
      </x:c>
      <x:c r="B39" s="13" t="str">
        <x:v>Attach, inspect and remove chat files</x:v>
      </x:c>
      <x:c r="C39" s="13" t="str">
        <x:v>Right-side AI chatbot</x:v>
      </x:c>
      <x:c r="D39" s="13" t="str">
        <x:v>Reference</x:v>
      </x:c>
      <x:c r="E39" s="16" t="str">
        <x:v>Partial</x:v>
      </x:c>
      <x:c r="F39" s="13" t="str">
        <x:v>P04</x:v>
      </x:c>
      <x:c r="G39" s="13" t="str">
        <x:v>P0</x:v>
      </x:c>
      <x:c r="H39" s="13" t="str">
        <x:v>Codex owns remaining engineering; owner supplies listed external gates</x:v>
      </x:c>
      <x:c r="I39" s="13" t="str">
        <x:v>Single local text/code attachment up to 100 KB; 6,000 characters sent</x:v>
      </x:c>
      <x:c r="J39" s="13" t="str">
        <x:v>Integrate cloud-file picker, visible inclusion state and remove/replace controls.</x:v>
      </x:c>
      <x:c r="K39" s="13" t="str">
        <x:v>Selected attachments can be inspected/removed and unsupported formats fail clearly.</x:v>
      </x:c>
      <x:c r="L39" s="13" t="str">
        <x:v>V1; advertised</x:v>
      </x:c>
      <x:c r="M39" s="13" t="str"/>
      <x:c r="N39" s="14" t="d">
        <x:v>2026-10-22T00:00:00.000Z</x:v>
      </x:c>
    </x:row>
    <x:row r="40" ht="66" customHeight="1">
      <x:c r="A40" s="15" t="str">
        <x:v>CHT-008</x:v>
      </x:c>
      <x:c r="B40" s="13" t="str">
        <x:v>Apply assistant code to the current result</x:v>
      </x:c>
      <x:c r="C40" s="13" t="str">
        <x:v>Right-side AI chatbot</x:v>
      </x:c>
      <x:c r="D40" s="13" t="str">
        <x:v>Reference</x:v>
      </x:c>
      <x:c r="E40" s="16" t="str">
        <x:v>Implemented</x:v>
      </x:c>
      <x:c r="F40" s="13" t="str">
        <x:v>P04</x:v>
      </x:c>
      <x:c r="G40" s="13" t="str">
        <x:v>P0</x:v>
      </x:c>
      <x:c r="H40" s="13" t="str">
        <x:v>Codex / CI</x:v>
      </x:c>
      <x:c r="I40" s="13" t="str">
        <x:v>Chat code opens a diff-confirmation dialog. Reviewed account edits append an optimistic/idempotent version; originals remain downloadable. Local/no-save sessions preserve up to 20 session snapshots.</x:v>
      </x:c>
      <x:c r="J40" s="13" t="str"/>
      <x:c r="K40" s="13" t="str">
        <x:v>Only an explicit user action updates the intended result; original version remains recoverable.</x:v>
      </x:c>
      <x:c r="L40" s="13" t="str">
        <x:v>V1; advertised</x:v>
      </x:c>
      <x:c r="M40" s="13" t="str"/>
      <x:c r="N40" s="14" t="d">
        <x:v>2026-10-22T00:00:00.000Z</x:v>
      </x:c>
    </x:row>
    <x:row r="41" ht="66" customHeight="1">
      <x:c r="A41" s="15" t="str">
        <x:v>CHT-009</x:v>
      </x:c>
      <x:c r="B41" s="13" t="str">
        <x:v>Sanitized Markdown and fenced code in chat</x:v>
      </x:c>
      <x:c r="C41" s="13" t="str">
        <x:v>Right-side AI chatbot</x:v>
      </x:c>
      <x:c r="D41" s="13" t="str">
        <x:v>Reference</x:v>
      </x:c>
      <x:c r="E41" s="16" t="str">
        <x:v>Implemented</x:v>
      </x:c>
      <x:c r="F41" s="13" t="str">
        <x:v>P04</x:v>
      </x:c>
      <x:c r="G41" s="13" t="str">
        <x:v>P0</x:v>
      </x:c>
      <x:c r="H41" s="13" t="str">
        <x:v>Codex / CI</x:v>
      </x:c>
      <x:c r="I41" s="13" t="str">
        <x:v>Assistant prose uses safe GFM rendering; fenced blocks have copy and review actions. Raw HTML/scripts, remote images and unsafe links are rejected in rendering tests.</x:v>
      </x:c>
      <x:c r="J41" s="13" t="str"/>
      <x:c r="K41" s="13" t="str">
        <x:v>Code and prose display accurately; scripts/unsafe HTML cannot run.</x:v>
      </x:c>
      <x:c r="L41" s="13" t="str">
        <x:v>V1; advertised</x:v>
      </x:c>
      <x:c r="M41" s="13" t="str"/>
      <x:c r="N41" s="14" t="d">
        <x:v>2026-10-22T00:00:00.000Z</x:v>
      </x:c>
    </x:row>
    <x:row r="42" ht="66" customHeight="1">
      <x:c r="A42" s="15" t="str">
        <x:v>TOL-001</x:v>
      </x:c>
      <x:c r="B42" s="13" t="str">
        <x:v>Arbitrary source-to-target code conversion</x:v>
      </x:c>
      <x:c r="C42" s="13" t="str">
        <x:v>AI coding tools</x:v>
      </x:c>
      <x:c r="D42" s="13" t="str">
        <x:v>Reference</x:v>
      </x:c>
      <x:c r="E42" s="16" t="str">
        <x:v>Blocked</x:v>
      </x:c>
      <x:c r="F42" s="13" t="str">
        <x:v>P04</x:v>
      </x:c>
      <x:c r="G42" s="13" t="str">
        <x:v>P0</x:v>
      </x:c>
      <x:c r="H42" s="13" t="str">
        <x:v>Owner supplies access/decision; Codex executes verification</x:v>
      </x:c>
      <x:c r="I42" s="13" t="str">
        <x:v>lib/site-api.ts adapter and mock tests; four exact local examples only Build03 review: remaining acceptance requires the named external gate; not represented as verified.</x:v>
      </x:c>
      <x:c r="J42" s="13" t="str">
        <x:v>Connect portable backend and real provider; evaluate varied unseen programs.</x:v>
      </x:c>
      <x:c r="K42" s="13" t="str">
        <x:v>Unseen conversions preserve testable behavior and are labeled generated until independently run.</x:v>
      </x:c>
      <x:c r="L42" s="13" t="str">
        <x:v>06-10</x:v>
      </x:c>
      <x:c r="M42" s="13" t="str">
        <x:v>B03</x:v>
      </x:c>
      <x:c r="N42" s="14" t="d">
        <x:v>2026-10-22T00:00:00.000Z</x:v>
      </x:c>
    </x:row>
    <x:row r="43" ht="66" customHeight="1">
      <x:c r="A43" s="15" t="str">
        <x:v>TOL-002</x:v>
      </x:c>
      <x:c r="B43" s="13" t="str">
        <x:v>Natural-language code generation</x:v>
      </x:c>
      <x:c r="C43" s="13" t="str">
        <x:v>AI coding tools</x:v>
      </x:c>
      <x:c r="D43" s="13" t="str">
        <x:v>Reference</x:v>
      </x:c>
      <x:c r="E43" s="16" t="str">
        <x:v>Blocked</x:v>
      </x:c>
      <x:c r="F43" s="13" t="str">
        <x:v>P04</x:v>
      </x:c>
      <x:c r="G43" s="13" t="str">
        <x:v>P0</x:v>
      </x:c>
      <x:c r="H43" s="13" t="str">
        <x:v>Owner supplies access/decision; Codex executes verification</x:v>
      </x:c>
      <x:c r="I43" s="13" t="str">
        <x:v>Generator route, prompt input and server task exist Build03 review: remaining acceptance requires the named external gate; not represented as verified.</x:v>
      </x:c>
      <x:c r="J43" s="13" t="str">
        <x:v>Add structured output, real generation tests and runnable result integration.</x:v>
      </x:c>
      <x:c r="K43" s="13" t="str">
        <x:v>New requirements produce the selected language and obey extra instructions.</x:v>
      </x:c>
      <x:c r="L43" s="13" t="str">
        <x:v>11-12,52</x:v>
      </x:c>
      <x:c r="M43" s="13" t="str">
        <x:v>B03</x:v>
      </x:c>
      <x:c r="N43" s="14" t="d">
        <x:v>2026-10-22T00:00:00.000Z</x:v>
      </x:c>
    </x:row>
    <x:row r="44" ht="66" customHeight="1">
      <x:c r="A44" s="15" t="str">
        <x:v>TOL-003</x:v>
      </x:c>
      <x:c r="B44" s="13" t="str">
        <x:v>Code explanation with examples and complexity</x:v>
      </x:c>
      <x:c r="C44" s="13" t="str">
        <x:v>AI coding tools</x:v>
      </x:c>
      <x:c r="D44" s="13" t="str">
        <x:v>Reference</x:v>
      </x:c>
      <x:c r="E44" s="16" t="str">
        <x:v>Blocked</x:v>
      </x:c>
      <x:c r="F44" s="13" t="str">
        <x:v>P04</x:v>
      </x:c>
      <x:c r="G44" s="13" t="str">
        <x:v>P0</x:v>
      </x:c>
      <x:c r="H44" s="13" t="str">
        <x:v>Owner supplies access/decision; Codex executes verification</x:v>
      </x:c>
      <x:c r="I44" s="13" t="str">
        <x:v>Explainer route and server task exist Build03 review: remaining acceptance requires the named external gate; not represented as verified.</x:v>
      </x:c>
      <x:c r="J44" s="13" t="str">
        <x:v>Return structured Markdown and validate usefulness against curated fixtures.</x:v>
      </x:c>
      <x:c r="K44" s="13" t="str">
        <x:v>Explanation includes behavior and edge cases with accurate code examples; no false execution claims.</x:v>
      </x:c>
      <x:c r="L44" s="13" t="str">
        <x:v>13-14,53,56</x:v>
      </x:c>
      <x:c r="M44" s="13" t="str">
        <x:v>B03</x:v>
      </x:c>
      <x:c r="N44" s="14" t="d">
        <x:v>2026-10-22T00:00:00.000Z</x:v>
      </x:c>
    </x:row>
    <x:row r="45" ht="66" customHeight="1">
      <x:c r="A45" s="15" t="str">
        <x:v>TOL-004</x:v>
      </x:c>
      <x:c r="B45" s="13" t="str">
        <x:v>Code checking with issues and corrected snippets</x:v>
      </x:c>
      <x:c r="C45" s="13" t="str">
        <x:v>AI coding tools</x:v>
      </x:c>
      <x:c r="D45" s="13" t="str">
        <x:v>Reference</x:v>
      </x:c>
      <x:c r="E45" s="16" t="str">
        <x:v>Partial</x:v>
      </x:c>
      <x:c r="F45" s="13" t="str">
        <x:v>P04</x:v>
      </x:c>
      <x:c r="G45" s="13" t="str">
        <x:v>P0</x:v>
      </x:c>
      <x:c r="H45" s="13" t="str">
        <x:v>Codex owns remaining engineering; owner supplies listed external gates</x:v>
      </x:c>
      <x:c r="I45" s="13" t="str">
        <x:v>Static tool-instructions.ts requests severity, evidence/lines and checker examples; safe review Markdown display exists.</x:v>
      </x:c>
      <x:c r="J45" s="13" t="str">
        <x:v>Implement a validated structured issue schema/renderer, severity handling and grounded live-model evaluation.</x:v>
      </x:c>
      <x:c r="K45" s="13" t="str">
        <x:v>Empty-list division by zero is identified in the reference fixture without fabricating tests.</x:v>
      </x:c>
      <x:c r="L45" s="13" t="str">
        <x:v>15-16,54,57</x:v>
      </x:c>
      <x:c r="M45" s="13" t="str">
        <x:v>B03</x:v>
      </x:c>
      <x:c r="N45" s="14" t="d">
        <x:v>2026-10-22T00:00:00.000Z</x:v>
      </x:c>
    </x:row>
    <x:row r="46" ht="66" customHeight="1">
      <x:c r="A46" s="15" t="str">
        <x:v>TOL-005</x:v>
      </x:c>
      <x:c r="B46" s="13" t="str">
        <x:v>Complete corrected code from fixer</x:v>
      </x:c>
      <x:c r="C46" s="13" t="str">
        <x:v>AI coding tools</x:v>
      </x:c>
      <x:c r="D46" s="13" t="str">
        <x:v>Reference</x:v>
      </x:c>
      <x:c r="E46" s="16" t="str">
        <x:v>Blocked</x:v>
      </x:c>
      <x:c r="F46" s="13" t="str">
        <x:v>P04</x:v>
      </x:c>
      <x:c r="G46" s="13" t="str">
        <x:v>P0</x:v>
      </x:c>
      <x:c r="H46" s="13" t="str">
        <x:v>Owner supplies access/decision; Codex executes verification</x:v>
      </x:c>
      <x:c r="I46" s="13" t="str">
        <x:v>Fixer route and fix prompt exist Build03 review: remaining acceptance requires the named external gate; not represented as verified.</x:v>
      </x:c>
      <x:c r="J46" s="13" t="str">
        <x:v>Validate fixed output, language and original constraints; preserve original code.</x:v>
      </x:c>
      <x:c r="K46" s="13" t="str">
        <x:v>Broken-loop fixture returns complete corrected code; source remains available for comparison.</x:v>
      </x:c>
      <x:c r="L46" s="13" t="str">
        <x:v>17-18,50-51</x:v>
      </x:c>
      <x:c r="M46" s="13" t="str">
        <x:v>B03</x:v>
      </x:c>
      <x:c r="N46" s="14" t="d">
        <x:v>2026-10-22T00:00:00.000Z</x:v>
      </x:c>
    </x:row>
    <x:row r="47" ht="68" customHeight="1">
      <x:c r="A47" s="15" t="str">
        <x:v>TOL-009</x:v>
      </x:c>
      <x:c r="B47" s="13" t="str">
        <x:v>Comment-remover coverage for the advertised catalog</x:v>
      </x:c>
      <x:c r="C47" s="13" t="str">
        <x:v>AI coding tools</x:v>
      </x:c>
      <x:c r="D47" s="13" t="str">
        <x:v>Reference</x:v>
      </x:c>
      <x:c r="E47" s="16" t="str">
        <x:v>Implemented</x:v>
      </x:c>
      <x:c r="F47" s="13" t="str">
        <x:v>P04</x:v>
      </x:c>
      <x:c r="G47" s="13" t="str">
        <x:v>P0</x:v>
      </x:c>
      <x:c r="H47" s="13" t="str">
        <x:v>Codex / CI</x:v>
      </x:c>
      <x:c r="I47" s="13" t="str">
        <x:v>26 advertised comment-removal grammars have fixtures. Dialect-aware SQL/PHP, template interpolation, regex strings, nested Rust comments and shebang preservation pass; unsupported grammars reject explicitly.</x:v>
      </x:c>
      <x:c r="J47" s="13" t="str"/>
      <x:c r="K47" s="13" t="str">
        <x:v>Each offered language has adversarial fixtures including template, regex and nested comment behavior.</x:v>
      </x:c>
      <x:c r="L47" s="13" t="str">
        <x:v>19-20,55</x:v>
      </x:c>
      <x:c r="M47" s="13" t="str"/>
      <x:c r="N47" s="14" t="d">
        <x:v>2026-10-22T00:00:00.000Z</x:v>
      </x:c>
    </x:row>
    <x:row r="48" ht="66" customHeight="1">
      <x:c r="A48" s="15" t="str">
        <x:v>TOL-012</x:v>
      </x:c>
      <x:c r="B48" s="13" t="str">
        <x:v>Grounded tool evaluation suite</x:v>
      </x:c>
      <x:c r="C48" s="13" t="str">
        <x:v>AI coding tools</x:v>
      </x:c>
      <x:c r="D48" s="13" t="str">
        <x:v>Reference</x:v>
      </x:c>
      <x:c r="E48" s="16" t="str">
        <x:v>Partial</x:v>
      </x:c>
      <x:c r="F48" s="13" t="str">
        <x:v>P04</x:v>
      </x:c>
      <x:c r="G48" s="13" t="str">
        <x:v>P0</x:v>
      </x:c>
      <x:c r="H48" s="13" t="str">
        <x:v>Codex owns remaining engineering; owner supplies listed external gates</x:v>
      </x:c>
      <x:c r="I48" s="13" t="str">
        <x:v>Static allowlisted tool prompts, bounded provider context and opt-in evaluation candidates are present. No mocked response is described as real AI quality.</x:v>
      </x:c>
      <x:c r="J48" s="13" t="str">
        <x:v>Build the unseen grounded evaluation fixtures, scoring thresholds and actual provider evaluation run.</x:v>
      </x:c>
      <x:c r="K48" s="13" t="str">
        <x:v>Failures are reproducible and release-blocking; transport mocks are not counted as model quality proof.</x:v>
      </x:c>
      <x:c r="L48" s="13" t="str">
        <x:v>09-10,50-57</x:v>
      </x:c>
      <x:c r="M48" s="13" t="str">
        <x:v>B03</x:v>
      </x:c>
      <x:c r="N48" s="14" t="d">
        <x:v>2026-10-22T00:00:00.000Z</x:v>
      </x:c>
    </x:row>
    <x:row r="49" ht="66" customHeight="1">
      <x:c r="A49" s="15" t="str">
        <x:v>FIL-003</x:v>
      </x:c>
      <x:c r="B49" s="13" t="str">
        <x:v>70-plus context-file types and parser matrix</x:v>
      </x:c>
      <x:c r="C49" s="13" t="str">
        <x:v>Files and context</x:v>
      </x:c>
      <x:c r="D49" s="13" t="str">
        <x:v>Reference</x:v>
      </x:c>
      <x:c r="E49" s="16" t="str">
        <x:v>Implemented</x:v>
      </x:c>
      <x:c r="F49" s="13" t="str">
        <x:v>P05</x:v>
      </x:c>
      <x:c r="G49" s="13" t="str">
        <x:v>P0</x:v>
      </x:c>
      <x:c r="H49" s="13" t="str">
        <x:v>Codex / CI</x:v>
      </x:c>
      <x:c r="I49" s="13" t="str">
        <x:v>All catalog extensions use the same bounded UTF-8-only extraction contract. Each offered extension is uploaded/downloaded in a fixture; binary/control/secret names and over-100KB content reject.</x:v>
      </x:c>
      <x:c r="J49" s="13" t="str"/>
      <x:c r="K49" s="13" t="str">
        <x:v>Every offered type has a bounded extraction fixture; unparsed binary content never silently becomes context.</x:v>
      </x:c>
      <x:c r="L49" s="13" t="str">
        <x:v>33; inventory advertised</x:v>
      </x:c>
      <x:c r="M49" s="13" t="str"/>
      <x:c r="N49" s="14" t="d">
        <x:v>2026-10-22T00:00:00.000Z</x:v>
      </x:c>
    </x:row>
    <x:row r="50" ht="82" customHeight="1">
      <x:c r="A50" s="15" t="str">
        <x:v>FIL-006</x:v>
      </x:c>
      <x:c r="B50" s="13" t="str">
        <x:v>Plan-based file and storage limits</x:v>
      </x:c>
      <x:c r="C50" s="13" t="str">
        <x:v>Files and context</x:v>
      </x:c>
      <x:c r="D50" s="13" t="str">
        <x:v>Reference</x:v>
      </x:c>
      <x:c r="E50" s="16" t="str">
        <x:v>Blocked</x:v>
      </x:c>
      <x:c r="F50" s="13" t="str">
        <x:v>P05</x:v>
      </x:c>
      <x:c r="G50" s="13" t="str">
        <x:v>P0</x:v>
      </x:c>
      <x:c r="H50" s="13" t="str">
        <x:v>Owner supplies access/decision; Codex executes verification</x:v>
      </x:c>
      <x:c r="I50" s="13" t="str">
        <x:v>file-capacity.ts serializes all direct/quarantine/revision capacity paths. Staged files, all retained revision bytes, 100/250 file limits, per-file100KB and20-revision limit are enforced. Build03 review: remaining acceptance requires the named external gate; not represented as verified.</x:v>
      </x:c>
      <x:c r="J50" s="13" t="str">
        <x:v>Run native multi-connection contention and real S3 race tests; PGlite serialized transactions are not proof of native contention.</x:v>
      </x:c>
      <x:c r="K50" s="13" t="str">
        <x:v>Concurrent uploads cannot exceed configured 100/250 paid file counts or byte limits.</x:v>
      </x:c>
      <x:c r="L50" s="13" t="str">
        <x:v>28,30; advertised</x:v>
      </x:c>
      <x:c r="M50" s="13" t="str">
        <x:v>B01/B02</x:v>
      </x:c>
      <x:c r="N50" s="14" t="d">
        <x:v>2026-10-22T00:00:00.000Z</x:v>
      </x:c>
    </x:row>
    <x:row r="51" ht="66" customHeight="1">
      <x:c r="A51" s="15" t="str">
        <x:v>FIL-007</x:v>
      </x:c>
      <x:c r="B51" s="13" t="str">
        <x:v>Reference-file selection and bounded AI context</x:v>
      </x:c>
      <x:c r="C51" s="13" t="str">
        <x:v>Files and context</x:v>
      </x:c>
      <x:c r="D51" s="13" t="str">
        <x:v>Reference</x:v>
      </x:c>
      <x:c r="E51" s="16" t="str">
        <x:v>Implemented</x:v>
      </x:c>
      <x:c r="F51" s="13" t="str">
        <x:v>P05</x:v>
      </x:c>
      <x:c r="G51" s="13" t="str">
        <x:v>P0</x:v>
      </x:c>
      <x:c r="H51" s="13" t="str">
        <x:v>Codex / CI</x:v>
      </x:c>
      <x:c r="I51" s="13" t="str">
        <x:v>Only explicit selected owned files enter requests, at most five; original/included Unicode character counts and revision/checksum provenance disclose the 6,000-character truncation.</x:v>
      </x:c>
      <x:c r="J51" s="13" t="str"/>
      <x:c r="K51" s="13" t="str">
        <x:v>Unselected or unauthorized files never enter requests; user sees any omissions.</x:v>
      </x:c>
      <x:c r="L51" s="13" t="str">
        <x:v>V1; advertised</x:v>
      </x:c>
      <x:c r="M51" s="13" t="str"/>
      <x:c r="N51" s="14" t="d">
        <x:v>2026-10-22T00:00:00.000Z</x:v>
      </x:c>
    </x:row>
    <x:row r="52" ht="68" customHeight="1">
      <x:c r="A52" s="15" t="str">
        <x:v>HIS-004</x:v>
      </x:c>
      <x:c r="B52" s="13" t="str">
        <x:v>Local-only history mode</x:v>
      </x:c>
      <x:c r="C52" s="13" t="str">
        <x:v>History and privacy preferences</x:v>
      </x:c>
      <x:c r="D52" s="13" t="str">
        <x:v>Reference</x:v>
      </x:c>
      <x:c r="E52" s="16" t="str">
        <x:v>Implemented</x:v>
      </x:c>
      <x:c r="F52" s="13" t="str">
        <x:v>P05</x:v>
      </x:c>
      <x:c r="G52" s="13" t="str">
        <x:v>P0</x:v>
      </x:c>
      <x:c r="H52" s="13" t="str">
        <x:v>Codex / CI</x:v>
      </x:c>
      <x:c r="I52" s="13" t="str">
        <x:v>Cloud/local/no-history mode is in the request fingerprint; ephemeral runs/chat are absent from cloud history/evaluation, discarded after delivery, and expired content is redacted by cleanup. Browser saving follows the selected mode.</x:v>
      </x:c>
      <x:c r="J52" s="13" t="str"/>
      <x:c r="K52" s="13" t="str">
        <x:v>Local-only requests do not persist code/chat in cloud history; unavoidable operational metadata is disclosed.</x:v>
      </x:c>
      <x:c r="L52" s="13" t="str">
        <x:v>33,37; advertised</x:v>
      </x:c>
      <x:c r="M52" s="13" t="str"/>
      <x:c r="N52" s="14" t="d">
        <x:v>2026-10-22T00:00:00.000Z</x:v>
      </x:c>
    </x:row>
    <x:row r="53" ht="68" customHeight="1">
      <x:c r="A53" s="15" t="str">
        <x:v>HIS-005</x:v>
      </x:c>
      <x:c r="B53" s="13" t="str">
        <x:v>Bulk history deletion and account export jobs</x:v>
      </x:c>
      <x:c r="C53" s="13" t="str">
        <x:v>History and privacy preferences</x:v>
      </x:c>
      <x:c r="D53" s="13" t="str">
        <x:v>Reference</x:v>
      </x:c>
      <x:c r="E53" s="16" t="str">
        <x:v>Implemented</x:v>
      </x:c>
      <x:c r="F53" s="13" t="str">
        <x:v>P05</x:v>
      </x:c>
      <x:c r="G53" s="13" t="str">
        <x:v>P0</x:v>
      </x:c>
      <x:c r="H53" s="13" t="str">
        <x:v>Codex / CI</x:v>
      </x:c>
      <x:c r="I53" s="13" t="str">
        <x:v>Owned idempotent bulk-delete/history-export jobs expose status and 24-hour authenticated exports. Browser retains only job metadata for recovery; redaction includes notes, events, chat content and shares.</x:v>
      </x:c>
      <x:c r="J53" s="13" t="str"/>
      <x:c r="K53" s="13" t="str">
        <x:v>Bulk jobs complete idempotently and signed export links expire.</x:v>
      </x:c>
      <x:c r="L53" s="13" t="str">
        <x:v>33,37-39; advertised</x:v>
      </x:c>
      <x:c r="M53" s="13" t="str"/>
      <x:c r="N53" s="14" t="d">
        <x:v>2026-10-22T00:00:00.000Z</x:v>
      </x:c>
    </x:row>
    <x:row r="54" ht="66" customHeight="1">
      <x:c r="A54" s="15" t="str">
        <x:v>PDF-002</x:v>
      </x:c>
      <x:c r="B54" s="13" t="str">
        <x:v>50,000-character PDF input and live preview</x:v>
      </x:c>
      <x:c r="C54" s="13" t="str">
        <x:v>Code-to-PDF</x:v>
      </x:c>
      <x:c r="D54" s="13" t="str">
        <x:v>Reference</x:v>
      </x:c>
      <x:c r="E54" s="16" t="str">
        <x:v>Implemented</x:v>
      </x:c>
      <x:c r="F54" s="13" t="str">
        <x:v>P06</x:v>
      </x:c>
      <x:c r="G54" s="13" t="str">
        <x:v>P0</x:v>
      </x:c>
      <x:c r="H54" s="13" t="str">
        <x:v>Codex / CI</x:v>
      </x:c>
      <x:c r="I54" s="13" t="str">
        <x:v>50,000-character input and sandboxed printable preview verified in browser: 50,006 characters with numbering, exactly 50,000 without. Input cap and responsive settings remain usable.</x:v>
      </x:c>
      <x:c r="J54" s="13" t="str"/>
      <x:c r="K54" s="13" t="str">
        <x:v>50,000-character code displays a matching printable preview and remains responsive.</x:v>
      </x:c>
      <x:c r="L54" s="13" t="str">
        <x:v>21-22,49</x:v>
      </x:c>
      <x:c r="M54" s="13" t="str"/>
      <x:c r="N54" s="14" t="d">
        <x:v>2026-10-22T00:00:00.000Z</x:v>
      </x:c>
    </x:row>
    <x:row r="55" ht="66" customHeight="1">
      <x:c r="A55" s="15" t="str">
        <x:v>PDF-006</x:v>
      </x:c>
      <x:c r="B55" s="13" t="str">
        <x:v>Line-number, title and custom-title controls</x:v>
      </x:c>
      <x:c r="C55" s="13" t="str">
        <x:v>Code-to-PDF</x:v>
      </x:c>
      <x:c r="D55" s="13" t="str">
        <x:v>Reference</x:v>
      </x:c>
      <x:c r="E55" s="16" t="str">
        <x:v>Implemented</x:v>
      </x:c>
      <x:c r="F55" s="13" t="str">
        <x:v>P06</x:v>
      </x:c>
      <x:c r="G55" s="13" t="str">
        <x:v>P0</x:v>
      </x:c>
      <x:c r="H55" s="13" t="str">
        <x:v>Codex / CI</x:v>
      </x:c>
      <x:c r="I55" s="13" t="str">
        <x:v>Document title, include-title and PDF line numbers are independent of editor line numbers; print preview and embedded PDF use the selected options. Unit/browser checks pass.</x:v>
      </x:c>
      <x:c r="J55" s="13" t="str"/>
      <x:c r="K55" s="13" t="str">
        <x:v>Title and line numbers can be independently included/excluded and match the preview.</x:v>
      </x:c>
      <x:c r="L55" s="13" t="str">
        <x:v>21,49</x:v>
      </x:c>
      <x:c r="M55" s="13" t="str"/>
      <x:c r="N55" s="14" t="d">
        <x:v>2026-10-22T00:00:00.000Z</x:v>
      </x:c>
    </x:row>
    <x:row r="56" ht="66" customHeight="1">
      <x:c r="A56" s="15" t="str">
        <x:v>RUN-002</x:v>
      </x:c>
      <x:c r="B56" s="13" t="str">
        <x:v>Python, JavaScript, C, C++ and Java remote runtimes</x:v>
      </x:c>
      <x:c r="C56" s="13" t="str">
        <x:v>Execution service</x:v>
      </x:c>
      <x:c r="D56" s="13" t="str">
        <x:v>Reference</x:v>
      </x:c>
      <x:c r="E56" s="16" t="str">
        <x:v>Partial</x:v>
      </x:c>
      <x:c r="F56" s="13" t="str">
        <x:v>P06</x:v>
      </x:c>
      <x:c r="G56" s="13" t="str">
        <x:v>P0</x:v>
      </x:c>
      <x:c r="H56" s="13" t="str">
        <x:v>Codex owns remaining engineering; owner supplies listed external gates</x:v>
      </x:c>
      <x:c r="I56" s="13" t="str">
        <x:v>Only browser JavaScript currently runs</x:v>
      </x:c>
      <x:c r="J56" s="13" t="str">
        <x:v>Build five version-pinned sandbox images and execution adapters.</x:v>
      </x:c>
      <x:c r="K56" s="13" t="str">
        <x:v>All five compile/run success, syntax failure and runtime failure fixtures return correct outcomes.</x:v>
      </x:c>
      <x:c r="L56" s="13" t="str">
        <x:v>23-26</x:v>
      </x:c>
      <x:c r="M56" s="13" t="str">
        <x:v>B01</x:v>
      </x:c>
      <x:c r="N56" s="14" t="d">
        <x:v>2026-10-22T00:00:00.000Z</x:v>
      </x:c>
    </x:row>
    <x:row r="57" ht="66" customHeight="1">
      <x:c r="A57" s="15" t="str">
        <x:v>RUN-003</x:v>
      </x:c>
      <x:c r="B57" s="13" t="str">
        <x:v>Searchable five-language runner selector</x:v>
      </x:c>
      <x:c r="C57" s="13" t="str">
        <x:v>Execution service</x:v>
      </x:c>
      <x:c r="D57" s="13" t="str">
        <x:v>Reference</x:v>
      </x:c>
      <x:c r="E57" s="16" t="str">
        <x:v>Partial</x:v>
      </x:c>
      <x:c r="F57" s="13" t="str">
        <x:v>P06</x:v>
      </x:c>
      <x:c r="G57" s="13" t="str">
        <x:v>P0</x:v>
      </x:c>
      <x:c r="H57" s="13" t="str">
        <x:v>Codex owns remaining engineering; owner supplies listed external gates</x:v>
      </x:c>
      <x:c r="I57" s="13" t="str">
        <x:v>Runner selector filters exactly Python, JavaScript, C, C++, Java.</x:v>
      </x:c>
      <x:c r="J57" s="13" t="str">
        <x:v>Publish and display versions measured from built digest-pinned runtime images; never invent versions from an unbuilt Dockerfile.</x:v>
      </x:c>
      <x:c r="K57" s="13" t="str">
        <x:v>Selector filters exactly five server languages and shows correct runtime/version.</x:v>
      </x:c>
      <x:c r="L57" s="13" t="str">
        <x:v>25</x:v>
      </x:c>
      <x:c r="M57" s="13" t="str">
        <x:v>B01</x:v>
      </x:c>
      <x:c r="N57" s="14" t="d">
        <x:v>2026-10-22T00:00:00.000Z</x:v>
      </x:c>
    </x:row>
    <x:row r="58" ht="68" customHeight="1">
      <x:c r="A58" s="15" t="str">
        <x:v>RUN-004</x:v>
      </x:c>
      <x:c r="B58" s="13" t="str">
        <x:v>stdout, stderr, exit code and elapsed time</x:v>
      </x:c>
      <x:c r="C58" s="13" t="str">
        <x:v>Execution service</x:v>
      </x:c>
      <x:c r="D58" s="13" t="str">
        <x:v>Reference</x:v>
      </x:c>
      <x:c r="E58" s="16" t="str">
        <x:v>Blocked</x:v>
      </x:c>
      <x:c r="F58" s="13" t="str">
        <x:v>P06</x:v>
      </x:c>
      <x:c r="G58" s="13" t="str">
        <x:v>P0</x:v>
      </x:c>
      <x:c r="H58" s="13" t="str">
        <x:v>Owner supplies access/decision; Codex executes verification</x:v>
      </x:c>
      <x:c r="I58" s="13" t="str">
        <x:v>Dispatch validates bounded stdout/stderr, exit code, duration, phase, truncation and timeout flags; server derives the displayed execution status. Build03 review: remaining acceptance requires the named external gate; not represented as verified.</x:v>
      </x:c>
      <x:c r="J58" s="13" t="str">
        <x:v>Exercise the actual signed isolated gateway for all five runtimes and verify every failure outcome.</x:v>
      </x:c>
      <x:c r="K58" s="13" t="str">
        <x:v>Success, compile error, runtime error and timeout display distinct status and duration.</x:v>
      </x:c>
      <x:c r="L58" s="13" t="str">
        <x:v>26</x:v>
      </x:c>
      <x:c r="M58" s="13" t="str">
        <x:v>B01/B02</x:v>
      </x:c>
      <x:c r="N58" s="14" t="d">
        <x:v>2026-10-22T00:00:00.000Z</x:v>
      </x:c>
    </x:row>
    <x:row r="59" ht="66" customHeight="1">
      <x:c r="A59" s="15" t="str">
        <x:v>RUN-009</x:v>
      </x:c>
      <x:c r="B59" s="13" t="str">
        <x:v>No network, packages or interactive stdin policy</x:v>
      </x:c>
      <x:c r="C59" s="13" t="str">
        <x:v>Execution service</x:v>
      </x:c>
      <x:c r="D59" s="13" t="str">
        <x:v>Reference</x:v>
      </x:c>
      <x:c r="E59" s="16" t="str">
        <x:v>Blocked</x:v>
      </x:c>
      <x:c r="F59" s="13" t="str">
        <x:v>P06</x:v>
      </x:c>
      <x:c r="G59" s="13" t="str">
        <x:v>P0</x:v>
      </x:c>
      <x:c r="H59" s="13" t="str">
        <x:v>Owner supplies access/decision; Codex executes verification</x:v>
      </x:c>
      <x:c r="I59" s="13" t="str">
        <x:v>Local worker has connect-src none; remote service absent Build03 review: remaining acceptance requires the named external gate; not represented as verified.</x:v>
      </x:c>
      <x:c r="J59" s="13" t="str">
        <x:v>Enforce equivalent remote egress/installation/stdin restrictions and publish limits.</x:v>
      </x:c>
      <x:c r="K59" s="13" t="str">
        <x:v>Blocked network and package installation tests fail; standard-library samples work.</x:v>
      </x:c>
      <x:c r="L59" s="13" t="str">
        <x:v>23-26; inventory</x:v>
      </x:c>
      <x:c r="M59" s="13" t="str">
        <x:v>B01/B02</x:v>
      </x:c>
      <x:c r="N59" s="14" t="d">
        <x:v>2026-10-22T00:00:00.000Z</x:v>
      </x:c>
    </x:row>
    <x:row r="60" ht="66" customHeight="1">
      <x:c r="A60" s="15" t="str">
        <x:v>BIL-001</x:v>
      </x:c>
      <x:c r="B60" s="13" t="str">
        <x:v>Versioned Free, Pro and Premium catalog</x:v>
      </x:c>
      <x:c r="C60" s="13" t="str">
        <x:v>Billing and subscriptions</x:v>
      </x:c>
      <x:c r="D60" s="13" t="str">
        <x:v>Reference</x:v>
      </x:c>
      <x:c r="E60" s="16" t="str">
        <x:v>Blocked</x:v>
      </x:c>
      <x:c r="F60" s="13" t="str">
        <x:v>P07</x:v>
      </x:c>
      <x:c r="G60" s="13" t="str">
        <x:v>P0</x:v>
      </x:c>
      <x:c r="H60" s="13" t="str">
        <x:v>Owner supplies access/decision; Codex executes verification</x:v>
      </x:c>
      <x:c r="I60" s="13" t="str">
        <x:v>Proposed price cards exist only in frontend Build03 review: remaining acceptance requires the named external gate; not represented as verified.</x:v>
      </x:c>
      <x:c r="J60" s="13" t="str">
        <x:v>Create server plan/price/entitlement catalog; preserve reference values as comparison inputs until approved.</x:v>
      </x:c>
      <x:c r="K60" s="13" t="str">
        <x:v>Monthly/yearly catalog, entitlements and checkout IDs remain consistent for all supported currencies.</x:v>
      </x:c>
      <x:c r="L60" s="13" t="str">
        <x:v>27-30</x:v>
      </x:c>
      <x:c r="M60" s="13" t="str">
        <x:v>B04/B08</x:v>
      </x:c>
      <x:c r="N60" s="14" t="d">
        <x:v>2026-10-22T00:00:00.000Z</x:v>
      </x:c>
    </x:row>
    <x:row r="61" ht="66" customHeight="1">
      <x:c r="A61" s="15" t="str">
        <x:v>BIL-011</x:v>
      </x:c>
      <x:c r="B61" s="13" t="str">
        <x:v>Billing account page and allowance display</x:v>
      </x:c>
      <x:c r="C61" s="13" t="str">
        <x:v>Billing and subscriptions</x:v>
      </x:c>
      <x:c r="D61" s="13" t="str">
        <x:v>Reference</x:v>
      </x:c>
      <x:c r="E61" s="16" t="str">
        <x:v>Partial</x:v>
      </x:c>
      <x:c r="F61" s="13" t="str">
        <x:v>P07</x:v>
      </x:c>
      <x:c r="G61" s="13" t="str">
        <x:v>P0</x:v>
      </x:c>
      <x:c r="H61" s="13" t="str">
        <x:v>Codex owns remaining engineering; owner supplies listed external gates</x:v>
      </x:c>
      <x:c r="I61" s="13" t="str">
        <x:v>Account billing displays ledger granted/reserved/consumed/available, credit refresh and paid period separately; portal and stable checkout retries are wired.</x:v>
      </x:c>
      <x:c r="J61" s="13" t="str">
        <x:v>Verify actual provider invoice/portal, tax, payment-method and renewal states against merchant sandbox.</x:v>
      </x:c>
      <x:c r="K61" s="13" t="str">
        <x:v>Billing page matches signed provider and usage-ledger state after reload.</x:v>
      </x:c>
      <x:c r="L61" s="13" t="str">
        <x:v>V1;28,30</x:v>
      </x:c>
      <x:c r="M61" s="13" t="str">
        <x:v>B04</x:v>
      </x:c>
      <x:c r="N61" s="14" t="d">
        <x:v>2026-10-22T00:00:00.000Z</x:v>
      </x:c>
    </x:row>
    <x:row r="62" ht="68" customHeight="1">
      <x:c r="A62" s="15" t="str">
        <x:v>QTA-002</x:v>
      </x:c>
      <x:c r="B62" s="13" t="str">
        <x:v>Free-account initial credits</x:v>
      </x:c>
      <x:c r="C62" s="13" t="str">
        <x:v>Quotas and AI cost control</x:v>
      </x:c>
      <x:c r="D62" s="13" t="str">
        <x:v>Production</x:v>
      </x:c>
      <x:c r="E62" s="16" t="str">
        <x:v>Blocked</x:v>
      </x:c>
      <x:c r="F62" s="13" t="str">
        <x:v>P07</x:v>
      </x:c>
      <x:c r="G62" s="13" t="str">
        <x:v>P0</x:v>
      </x:c>
      <x:c r="H62" s="13" t="str">
        <x:v>Owner supplies access/decision; Codex executes verification</x:v>
      </x:c>
      <x:c r="I62" s="13" t="str">
        <x:v>BUILD-01: Verified-account starter grant keyed once per account. Thirty parallel application calls and replay leave exactly five credits and one grant on PGlite. Build03 review: remaining acceptance requires the named external gate; not represented as verified.</x:v>
      </x:c>
      <x:c r="J62" s="13" t="str">
        <x:v>Prove multi-connection concurrent signup/login using the native PostgreSQL suite. Public signup verification is separate auth work.</x:v>
      </x:c>
      <x:c r="K62" s="13" t="str">
        <x:v>Repeated login, replay and concurrent signup cannot duplicate the initial grant.</x:v>
      </x:c>
      <x:c r="L62" s="13" t="str">
        <x:v>28,30,33</x:v>
      </x:c>
      <x:c r="M62" s="13" t="str">
        <x:v>B01</x:v>
      </x:c>
      <x:c r="N62" s="14" t="d">
        <x:v>2026-10-22T00:00:00.000Z</x:v>
      </x:c>
    </x:row>
    <x:row r="63" ht="66" customHeight="1">
      <x:c r="A63" s="15" t="str">
        <x:v>QTA-003</x:v>
      </x:c>
      <x:c r="B63" s="13" t="str">
        <x:v>Plan request and context limits</x:v>
      </x:c>
      <x:c r="C63" s="13" t="str">
        <x:v>Quotas and AI cost control</x:v>
      </x:c>
      <x:c r="D63" s="13" t="str">
        <x:v>Production</x:v>
      </x:c>
      <x:c r="E63" s="16" t="str">
        <x:v>Partial</x:v>
      </x:c>
      <x:c r="F63" s="13" t="str">
        <x:v>P07</x:v>
      </x:c>
      <x:c r="G63" s="13" t="str">
        <x:v>P0</x:v>
      </x:c>
      <x:c r="H63" s="13" t="str">
        <x:v>Codex owns remaining engineering; owner supplies listed external gates</x:v>
      </x:c>
      <x:c r="I63" s="13" t="str">
        <x:v>Unicode limits match PostgreSQL length and UI source/instruction/reference counts; private preview is capped at4,000 and authenticated service at25k/100k.</x:v>
      </x:c>
      <x:c r="J63" s="13" t="str">
        <x:v>Wire guarded public anonymous AI/execution dispatch and settle the approved Standard-vs-Advanced usage/paid-execution policies.</x:v>
      </x:c>
      <x:c r="K63" s="13" t="str">
        <x:v>Concurrent APIs enforce server policy independent of frontend limits or model selection.</x:v>
      </x:c>
      <x:c r="L63" s="13" t="str">
        <x:v>Inventory and28,30</x:v>
      </x:c>
      <x:c r="M63" s="13" t="str">
        <x:v>B02/B03/B08</x:v>
      </x:c>
      <x:c r="N63" s="14" t="d">
        <x:v>2026-10-22T00:00:00.000Z</x:v>
      </x:c>
    </x:row>
    <x:row r="64" ht="66" customHeight="1">
      <x:c r="A64" s="15" t="str">
        <x:v>QTA-004</x:v>
      </x:c>
      <x:c r="B64" s="13" t="str">
        <x:v>Durable reservation, settle and release ledger</x:v>
      </x:c>
      <x:c r="C64" s="13" t="str">
        <x:v>Quotas and AI cost control</x:v>
      </x:c>
      <x:c r="D64" s="13" t="str">
        <x:v>Production</x:v>
      </x:c>
      <x:c r="E64" s="16" t="str">
        <x:v>Partial</x:v>
      </x:c>
      <x:c r="F64" s="13" t="str">
        <x:v>P07</x:v>
      </x:c>
      <x:c r="G64" s="13" t="str">
        <x:v>P0</x:v>
      </x:c>
      <x:c r="H64" s="13" t="str">
        <x:v>Codex owns remaining engineering; owner supplies listed external gates</x:v>
      </x:c>
      <x:c r="I64" s="13" t="str">
        <x:v>BUILD-01: Row-locked durable reserve/settle/release service. Overspend, duplicate delivery, cancellation, rejection, timeout and crash-fence fixtures pass on PGlite.</x:v>
      </x:c>
      <x:c r="J64" s="13" t="str">
        <x:v>Run native PostgreSQL contention/failure tests, then live provider outcome reconciliation. Unknown acceptance remains held safely.</x:v>
      </x:c>
      <x:c r="K64" s="13" t="str">
        <x:v>Concurrent requests never overspend; timeouts/replays cannot charge twice or bypass caps.</x:v>
      </x:c>
      <x:c r="L64" s="13" t="str">
        <x:v>Production requirement</x:v>
      </x:c>
      <x:c r="M64" s="13" t="str">
        <x:v>B01</x:v>
      </x:c>
      <x:c r="N64" s="14" t="d">
        <x:v>2026-10-22T00:00:00.000Z</x:v>
      </x:c>
    </x:row>
    <x:row r="65" ht="68" customHeight="1">
      <x:c r="A65" s="15" t="str">
        <x:v>QTA-005</x:v>
      </x:c>
      <x:c r="B65" s="13" t="str">
        <x:v>Distributed rate and concurrency limits</x:v>
      </x:c>
      <x:c r="C65" s="13" t="str">
        <x:v>Quotas and AI cost control</x:v>
      </x:c>
      <x:c r="D65" s="13" t="str">
        <x:v>Production</x:v>
      </x:c>
      <x:c r="E65" s="16" t="str">
        <x:v>Blocked</x:v>
      </x:c>
      <x:c r="F65" s="13" t="str">
        <x:v>P07</x:v>
      </x:c>
      <x:c r="G65" s="13" t="str">
        <x:v>P0</x:v>
      </x:c>
      <x:c r="H65" s="13" t="str">
        <x:v>Owner supplies access/decision; Codex executes verification</x:v>
      </x:c>
      <x:c r="I65" s="13" t="str">
        <x:v>BUILD-01: Database-shared fixed-window limits and renewable concurrency leases. Two service instances enforce shared limits in application-level race tests. Build03 review: remaining acceptance requires the named external gate; not represented as verified.</x:v>
      </x:c>
      <x:c r="J65" s="13" t="str">
        <x:v>Verify actual separate API/worker processes and native database connections under contention/load. Configure deployment limits and worker monitoring.</x:v>
      </x:c>
      <x:c r="K65" s="13" t="str">
        <x:v>Multiple API replicas enforce the same limits and cannot be bypassed by instance changes.</x:v>
      </x:c>
      <x:c r="L65" s="13" t="str">
        <x:v>lib/site-api.ts; production requirement</x:v>
      </x:c>
      <x:c r="M65" s="13" t="str">
        <x:v>B01/B02</x:v>
      </x:c>
      <x:c r="N65" s="14" t="d">
        <x:v>2026-10-22T00:00:00.000Z</x:v>
      </x:c>
    </x:row>
    <x:row r="66" ht="66" customHeight="1">
      <x:c r="A66" s="15" t="str">
        <x:v>WEB-006</x:v>
      </x:c>
      <x:c r="B66" s="13" t="str">
        <x:v>Resource, legal and tools footer</x:v>
      </x:c>
      <x:c r="C66" s="13" t="str">
        <x:v>Public website and discovery</x:v>
      </x:c>
      <x:c r="D66" s="13" t="str">
        <x:v>Reference</x:v>
      </x:c>
      <x:c r="E66" s="16" t="str">
        <x:v>Implemented</x:v>
      </x:c>
      <x:c r="F66" s="13" t="str">
        <x:v>P08</x:v>
      </x:c>
      <x:c r="G66" s="13" t="str">
        <x:v>P0</x:v>
      </x:c>
      <x:c r="H66" s="13" t="str">
        <x:v>Codex / CI</x:v>
      </x:c>
      <x:c r="I66" s="13" t="str">
        <x:v>Footer tools/resources/legal resolve to distinct routes, including dedicated /partnerships and /code-privacy; partnership destination makes current program status explicit.</x:v>
      </x:c>
      <x:c r="J66" s="13" t="str"/>
      <x:c r="K66" s="13" t="str">
        <x:v>Every footer destination resolves to its own approved content or explicit external destination.</x:v>
      </x:c>
      <x:c r="L66" s="13" t="str">
        <x:v>47</x:v>
      </x:c>
      <x:c r="M66" s="13" t="str"/>
      <x:c r="N66" s="14" t="d">
        <x:v>2026-10-22T00:00:00.000Z</x:v>
      </x:c>
    </x:row>
    <x:row r="67" ht="66" customHeight="1">
      <x:c r="A67" s="15" t="str">
        <x:v>WEB-009</x:v>
      </x:c>
      <x:c r="B67" s="13" t="str">
        <x:v>Complete categorized FAQ content</x:v>
      </x:c>
      <x:c r="C67" s="13" t="str">
        <x:v>Public website and discovery</x:v>
      </x:c>
      <x:c r="D67" s="13" t="str">
        <x:v>Reference</x:v>
      </x:c>
      <x:c r="E67" s="16" t="str">
        <x:v>Implemented</x:v>
      </x:c>
      <x:c r="F67" s="13" t="str">
        <x:v>P08</x:v>
      </x:c>
      <x:c r="G67" s="13" t="str">
        <x:v>P0</x:v>
      </x:c>
      <x:c r="H67" s="13" t="str">
        <x:v>Codex / CI</x:v>
      </x:c>
      <x:c r="I67" s="13" t="str">
        <x:v>14 accurate categorized help articles support keyboard search and stable anchors; browser credits search returns one answer and opens it. Proposed/disabled services are labeled.</x:v>
      </x:c>
      <x:c r="J67" s="13" t="str"/>
      <x:c r="K67" s="13" t="str">
        <x:v>Credits, files, models, execution, privacy and billing questions reflect real server behavior.</x:v>
      </x:c>
      <x:c r="L67" s="13" t="str">
        <x:v>31-33</x:v>
      </x:c>
      <x:c r="M67" s="13" t="str"/>
      <x:c r="N67" s="14" t="d">
        <x:v>2026-10-22T00:00:00.000Z</x:v>
      </x:c>
    </x:row>
    <x:row r="68" ht="66" customHeight="1">
      <x:c r="A68" s="15" t="str">
        <x:v>WEB-010</x:v>
      </x:c>
      <x:c r="B68" s="13" t="str">
        <x:v>Contact page and message form</x:v>
      </x:c>
      <x:c r="C68" s="13" t="str">
        <x:v>Public website and discovery</x:v>
      </x:c>
      <x:c r="D68" s="13" t="str">
        <x:v>Reference</x:v>
      </x:c>
      <x:c r="E68" s="16" t="str">
        <x:v>Partial</x:v>
      </x:c>
      <x:c r="F68" s="13" t="str">
        <x:v>P08</x:v>
      </x:c>
      <x:c r="G68" s="13" t="str">
        <x:v>P0</x:v>
      </x:c>
      <x:c r="H68" s="13" t="str">
        <x:v>Codex owns remaining engineering; owner supplies listed external gates</x:v>
      </x:c>
      <x:c r="I68" s="13" t="str">
        <x:v>Authenticated support tickets now have a shared durable five-per-hour user rate window. Account ownership and input validation are tested.</x:v>
      </x:c>
      <x:c r="J68" s="13" t="str">
        <x:v>Add durable idempotent acknowledgement outbox, delivery/recovery UI, verified sender and actual support delivery.</x:v>
      </x:c>
      <x:c r="K68" s="13" t="str">
        <x:v>Valid form creates one ticket and an acknowledgement; failed delivery is recoverable.</x:v>
      </x:c>
      <x:c r="L68" s="13" t="str">
        <x:v>34-35</x:v>
      </x:c>
      <x:c r="M68" s="13" t="str">
        <x:v>B07</x:v>
      </x:c>
      <x:c r="N68" s="14" t="d">
        <x:v>2026-10-22T00:00:00.000Z</x:v>
      </x:c>
    </x:row>
    <x:row r="69" ht="66" customHeight="1">
      <x:c r="A69" s="15" t="str">
        <x:v>WEB-012</x:v>
      </x:c>
      <x:c r="B69" s="13" t="str">
        <x:v>Production Privacy Policy and Terms</x:v>
      </x:c>
      <x:c r="C69" s="13" t="str">
        <x:v>Public website and discovery</x:v>
      </x:c>
      <x:c r="D69" s="13" t="str">
        <x:v>Reference</x:v>
      </x:c>
      <x:c r="E69" s="16" t="str">
        <x:v>Blocked</x:v>
      </x:c>
      <x:c r="F69" s="13" t="str">
        <x:v>P08</x:v>
      </x:c>
      <x:c r="G69" s="13" t="str">
        <x:v>P0</x:v>
      </x:c>
      <x:c r="H69" s="13" t="str">
        <x:v>Owner supplies access/decision; Codex executes verification</x:v>
      </x:c>
      <x:c r="I69" s="13" t="str">
        <x:v>Generic preview policy and terms routes exist Build03 review: remaining acceptance requires the named external gate; not represented as verified.</x:v>
      </x:c>
      <x:c r="J69" s="13" t="str">
        <x:v>Replace preview terms with owner-approved business, country, payment and retention language.</x:v>
      </x:c>
      <x:c r="K69" s="13" t="str">
        <x:v>All required policy sections, dates, contacts and navigation are approved and linkable.</x:v>
      </x:c>
      <x:c r="L69" s="13" t="str">
        <x:v>38-41</x:v>
      </x:c>
      <x:c r="M69" s="13" t="str">
        <x:v>B08</x:v>
      </x:c>
      <x:c r="N69" s="14" t="d">
        <x:v>2026-10-22T00:00:00.000Z</x:v>
      </x:c>
    </x:row>
    <x:row r="70" ht="66" customHeight="1">
      <x:c r="A70" s="15" t="str">
        <x:v>WEB-013</x:v>
      </x:c>
      <x:c r="B70" s="13" t="str">
        <x:v>Source-language directory routes</x:v>
      </x:c>
      <x:c r="C70" s="13" t="str">
        <x:v>Public website and discovery</x:v>
      </x:c>
      <x:c r="D70" s="13" t="str">
        <x:v>Reference</x:v>
      </x:c>
      <x:c r="E70" s="16" t="str">
        <x:v>Implemented</x:v>
      </x:c>
      <x:c r="F70" s="13" t="str">
        <x:v>P08</x:v>
      </x:c>
      <x:c r="G70" s="13" t="str">
        <x:v>P0</x:v>
      </x:c>
      <x:c r="H70" s="13" t="str">
        <x:v>Codex / CI</x:v>
      </x:c>
      <x:c r="I70" s="13" t="str">
        <x:v>68 source-language directories resolve to selected-source and related-target links, alongside 68 pair pages; standalone output prerenders 152 public candidate routes with indexing off by default.</x:v>
      </x:c>
      <x:c r="J70" s="13" t="str"/>
      <x:c r="K70" s="13" t="str">
        <x:v>All 68 captured directory routes resolve with the selected source and related targets.</x:v>
      </x:c>
      <x:c r="L70" s="13" t="str">
        <x:v>42-43; discovered-links.csv</x:v>
      </x:c>
      <x:c r="M70" s="13" t="str"/>
      <x:c r="N70" s="14" t="d">
        <x:v>2026-10-22T00:00:00.000Z</x:v>
      </x:c>
    </x:row>
    <x:row r="71" ht="66" customHeight="1">
      <x:c r="A71" s="15" t="str">
        <x:v>WEB-015</x:v>
      </x:c>
      <x:c r="B71" s="13" t="str">
        <x:v>English and French website localization</x:v>
      </x:c>
      <x:c r="C71" s="13" t="str">
        <x:v>Public website and discovery</x:v>
      </x:c>
      <x:c r="D71" s="13" t="str">
        <x:v>Reference</x:v>
      </x:c>
      <x:c r="E71" s="16" t="str">
        <x:v>Partial</x:v>
      </x:c>
      <x:c r="F71" s="13" t="str">
        <x:v>P08</x:v>
      </x:c>
      <x:c r="G71" s="13" t="str">
        <x:v>P0</x:v>
      </x:c>
      <x:c r="H71" s="13" t="str">
        <x:v>Codex owns remaining engineering; owner supplies listed external gates</x:v>
      </x:c>
      <x:c r="I71" s="13" t="str">
        <x:v>English interface and explicit English metadata remain.</x:v>
      </x:c>
      <x:c r="J71" s="13" t="str">
        <x:v>Implement complete French strings, locale routing/switching/persistence, translated guides/help and language metadata.</x:v>
      </x:c>
      <x:c r="K71" s="13" t="str">
        <x:v>English/French selection changes all covered UI and uses correct canonical/hreflang behavior.</x:v>
      </x:c>
      <x:c r="L71" s="13" t="str">
        <x:v>47</x:v>
      </x:c>
      <x:c r="M71" s="13" t="str"/>
      <x:c r="N71" s="14" t="d">
        <x:v>2026-10-22T00:00:00.000Z</x:v>
      </x:c>
    </x:row>
    <x:row r="72" ht="66" customHeight="1">
      <x:c r="A72" s="15" t="str">
        <x:v>WEB-016</x:v>
      </x:c>
      <x:c r="B72" s="13" t="str">
        <x:v>Search metadata, sitemap and indexing policy</x:v>
      </x:c>
      <x:c r="C72" s="13" t="str">
        <x:v>Public website and discovery</x:v>
      </x:c>
      <x:c r="D72" s="13" t="str">
        <x:v>Reference</x:v>
      </x:c>
      <x:c r="E72" s="16" t="str">
        <x:v>Partial</x:v>
      </x:c>
      <x:c r="F72" s="13" t="str">
        <x:v>P08</x:v>
      </x:c>
      <x:c r="G72" s="13" t="str">
        <x:v>P0</x:v>
      </x:c>
      <x:c r="H72" s="13" t="str">
        <x:v>Codex owns remaining engineering; owner supplies listed external gates</x:v>
      </x:c>
      <x:c r="I72" s="13" t="str">
        <x:v>Framework robots/sitemap routes and standalone canonical/sitemap generation default to noindex unless public HTTPS origin and indexing approval are configured. Sensitive routes stay excluded.</x:v>
      </x:c>
      <x:c r="J72" s="13" t="str">
        <x:v>Finish static framework-page canonicals, approved domain configuration and observed public indexing/redirect checks.</x:v>
      </x:c>
      <x:c r="K72" s="13" t="str">
        <x:v>Public pages index correctly; workspace, shared-sensitive and auth pages are excluded as intended.</x:v>
      </x:c>
      <x:c r="L72" s="13" t="str">
        <x:v>02,07,12,14,16,18,20,22,24,43,45</x:v>
      </x:c>
      <x:c r="M72" s="13" t="str">
        <x:v>B02/B05/B08</x:v>
      </x:c>
      <x:c r="N72" s="14" t="d">
        <x:v>2026-10-22T00:00:00.000Z</x:v>
      </x:c>
    </x:row>
    <x:row r="73" ht="66" customHeight="1">
      <x:c r="A73" s="15" t="str">
        <x:v>WEB-017</x:v>
      </x:c>
      <x:c r="B73" s="13" t="str">
        <x:v>Mobile and tablet reference adaptation</x:v>
      </x:c>
      <x:c r="C73" s="13" t="str">
        <x:v>Public website and discovery</x:v>
      </x:c>
      <x:c r="D73" s="13" t="str">
        <x:v>Reference</x:v>
      </x:c>
      <x:c r="E73" s="16" t="str">
        <x:v>Partial</x:v>
      </x:c>
      <x:c r="F73" s="13" t="str">
        <x:v>P08</x:v>
      </x:c>
      <x:c r="G73" s="13" t="str">
        <x:v>P0</x:v>
      </x:c>
      <x:c r="H73" s="13" t="str">
        <x:v>Codex owns remaining engineering; owner supplies listed external gates</x:v>
      </x:c>
      <x:c r="I73" s="13" t="str">
        <x:v>Responsive CSS exists; only desktop was previously verified</x:v>
      </x:c>
      <x:c r="J73" s="13" t="str">
        <x:v>Test real viewports, keyboard interactions and assistant overlay behavior.</x:v>
      </x:c>
      <x:c r="K73" s="13" t="str">
        <x:v>At 360/390/768/1024 widths every core action remains usable without horizontal page overflow.</x:v>
      </x:c>
      <x:c r="L73" s="13" t="str">
        <x:v>Archive says mobile not captured</x:v>
      </x:c>
      <x:c r="M73" s="13" t="str"/>
      <x:c r="N73" s="14" t="d">
        <x:v>2026-10-22T00:00:00.000Z</x:v>
      </x:c>
    </x:row>
    <x:row r="74" ht="66" customHeight="1">
      <x:c r="A74" s="15" t="str">
        <x:v>WEB-018</x:v>
      </x:c>
      <x:c r="B74" s="13" t="str">
        <x:v>Partnerships or affiliate destination</x:v>
      </x:c>
      <x:c r="C74" s="13" t="str">
        <x:v>Public website and discovery</x:v>
      </x:c>
      <x:c r="D74" s="13" t="str">
        <x:v>Reference</x:v>
      </x:c>
      <x:c r="E74" s="16" t="str">
        <x:v>Blocked</x:v>
      </x:c>
      <x:c r="F74" s="13" t="str">
        <x:v>P08</x:v>
      </x:c>
      <x:c r="G74" s="13" t="str">
        <x:v>P1</x:v>
      </x:c>
      <x:c r="H74" s="13" t="str">
        <x:v>Owner supplies access/decision; Codex executes verification</x:v>
      </x:c>
      <x:c r="I74" s="13" t="str">
        <x:v>Footer Partnerships link routes to contact Build03 review: remaining acceptance requires the named external gate; not represented as verified.</x:v>
      </x:c>
      <x:c r="J74" s="13" t="str">
        <x:v>Provide an owner-approved program/application destination without claiming unsupported payouts.</x:v>
      </x:c>
      <x:c r="K74" s="13" t="str">
        <x:v>Link opens the actual approved destination and application submission is acknowledged.</x:v>
      </x:c>
      <x:c r="L74" s="13" t="str">
        <x:v>47</x:v>
      </x:c>
      <x:c r="M74" s="13" t="str">
        <x:v>B08</x:v>
      </x:c>
      <x:c r="N74" s="14" t="d">
        <x:v>2026-10-22T00:00:00.000Z</x:v>
      </x:c>
    </x:row>
    <x:row r="75" ht="66" customHeight="1">
      <x:c r="A75" s="15" t="str">
        <x:v>QAS-002</x:v>
      </x:c>
      <x:c r="B75" s="13" t="str">
        <x:v>Frontend reference screenshots and interaction regression</x:v>
      </x:c>
      <x:c r="C75" s="13" t="str">
        <x:v>Quality and release verification</x:v>
      </x:c>
      <x:c r="D75" s="13" t="str">
        <x:v>Production</x:v>
      </x:c>
      <x:c r="E75" s="16" t="str">
        <x:v>Partial</x:v>
      </x:c>
      <x:c r="F75" s="13" t="str">
        <x:v>P10</x:v>
      </x:c>
      <x:c r="G75" s="13" t="str">
        <x:v>P0</x:v>
      </x:c>
      <x:c r="H75" s="13" t="str">
        <x:v>Codex owns remaining engineering; owner supplies listed external gates</x:v>
      </x:c>
      <x:c r="I75" s="13" t="str">
        <x:v>Recorded desktop Chromium interactions cover syntax, fullscreen Escape, plain fallback, comments, five-language selector, local execution55, PDF50k, help search and directory routing.</x:v>
      </x:c>
      <x:c r="J75" s="13" t="str">
        <x:v>Automate deterministic screenshot/action baselines and complete four viewport sizes and supported browser engines.</x:v>
      </x:c>
      <x:c r="K75" s="13" t="str">
        <x:v>All reference families and right-chat panel states pass visual and functional comparison.</x:v>
      </x:c>
      <x:c r="L75" s="13" t="str">
        <x:v>01-57; V1</x:v>
      </x:c>
      <x:c r="M75" s="13" t="str"/>
      <x:c r="N75" s="14" t="d">
        <x:v>2026-10-22T00:00:00.000Z</x:v>
      </x:c>
    </x:row>
    <x:row r="76" ht="66" customHeight="1">
      <x:c r="A76" s="15" t="str">
        <x:v>QAS-010</x:v>
      </x:c>
      <x:c r="B76" s="13" t="str">
        <x:v>Accessibility and cross-browser compatibility</x:v>
      </x:c>
      <x:c r="C76" s="13" t="str">
        <x:v>Quality and release verification</x:v>
      </x:c>
      <x:c r="D76" s="13" t="str">
        <x:v>Production</x:v>
      </x:c>
      <x:c r="E76" s="16" t="str">
        <x:v>Partial</x:v>
      </x:c>
      <x:c r="F76" s="13" t="str">
        <x:v>P10</x:v>
      </x:c>
      <x:c r="G76" s="13" t="str">
        <x:v>P0</x:v>
      </x:c>
      <x:c r="H76" s="13" t="str">
        <x:v>Codex owns remaining engineering; owner supplies listed external gates</x:v>
      </x:c>
      <x:c r="I76" s="13" t="str">
        <x:v>Keyboard source fallback, fullscreen focus/Escape, safe Markdown, searchable help and existing accessible labels are present.</x:v>
      </x:c>
      <x:c r="J76" s="13" t="str">
        <x:v>Complete WCAG keyboard/screen-reader audit and actual cross-browser/mobile checks.</x:v>
      </x:c>
      <x:c r="K76" s="13" t="str">
        <x:v>Core workflows complete with keyboard and required WCAG 2.2 AA checks pass.</x:v>
      </x:c>
      <x:c r="L76" s="13" t="str">
        <x:v>01-57; production requirement</x:v>
      </x:c>
      <x:c r="M76" s="13" t="str"/>
      <x:c r="N76" s="14" t="d">
        <x:v>2026-10-22T00:00:00.000Z</x:v>
      </x:c>
    </x:row>
    <x:row r="77" ht="66" customHeight="1">
      <x:c r="A77" s="15" t="str">
        <x:v>SEC-002</x:v>
      </x:c>
      <x:c r="B77" s="13" t="str">
        <x:v>Secret management and short-lived AWS roles</x:v>
      </x:c>
      <x:c r="C77" s="13" t="str">
        <x:v>Security and data handling</x:v>
      </x:c>
      <x:c r="D77" s="13" t="str">
        <x:v>Production</x:v>
      </x:c>
      <x:c r="E77" s="16" t="str">
        <x:v>Blocked</x:v>
      </x:c>
      <x:c r="F77" s="13" t="str">
        <x:v>P10</x:v>
      </x:c>
      <x:c r="G77" s="13" t="str">
        <x:v>P0</x:v>
      </x:c>
      <x:c r="H77" s="13" t="str">
        <x:v>Owner supplies access/decision; Codex executes verification</x:v>
      </x:c>
      <x:c r="I77" s="13" t="str">
        <x:v>Provider key server-only by design; production env empty Build03 review: remaining acceptance requires the named external gate; not represented as verified.</x:v>
      </x:c>
      <x:c r="J77" s="13" t="str">
        <x:v>Use AWS Secrets Manager/KMS and task roles; never send keys to browser or persist in Git.</x:v>
      </x:c>
      <x:c r="K77" s="13" t="str">
        <x:v>Secret scans pass; CI uses scoped temporary roles; rotation succeeds without exposing values.</x:v>
      </x:c>
      <x:c r="L77" s="13" t="str">
        <x:v>lib/site-api.ts; production requirement</x:v>
      </x:c>
      <x:c r="M77" s="13" t="str">
        <x:v>B02/B09</x:v>
      </x:c>
      <x:c r="N77" s="14" t="d">
        <x:v>2026-10-22T00:00:00.000Z</x:v>
      </x:c>
    </x:row>
    <x:row r="78" ht="66" customHeight="1">
      <x:c r="A78" s="15" t="str">
        <x:v>SEC-003</x:v>
      </x:c>
      <x:c r="B78" s="13" t="str">
        <x:v>Secure HTTP, cookies, CSRF and content policies</x:v>
      </x:c>
      <x:c r="C78" s="13" t="str">
        <x:v>Security and data handling</x:v>
      </x:c>
      <x:c r="D78" s="13" t="str">
        <x:v>Production</x:v>
      </x:c>
      <x:c r="E78" s="16" t="str">
        <x:v>Partial</x:v>
      </x:c>
      <x:c r="F78" s="13" t="str">
        <x:v>P10</x:v>
      </x:c>
      <x:c r="G78" s="13" t="str">
        <x:v>P0</x:v>
      </x:c>
      <x:c r="H78" s="13" t="str">
        <x:v>Codex owns remaining engineering; owner supplies listed external gates</x:v>
      </x:c>
      <x:c r="I78" s="13" t="str">
        <x:v>Same-origin API check and runner CSP exist</x:v>
      </x:c>
      <x:c r="J78" s="13" t="str">
        <x:v>Harden portable sessions, CORS, headers and sanitized Markdown/link behavior.</x:v>
      </x:c>
      <x:c r="K78" s="13" t="str">
        <x:v>CSRF, XSS and cross-origin fixture suites fail safely on staging.</x:v>
      </x:c>
      <x:c r="L78" s="13" t="str">
        <x:v>Production requirement</x:v>
      </x:c>
      <x:c r="M78" s="13" t="str"/>
      <x:c r="N78" s="14" t="d">
        <x:v>2026-10-22T00:00:00.000Z</x:v>
      </x:c>
    </x:row>
    <x:row r="79" ht="66" customHeight="1">
      <x:c r="A79" s="15" t="str">
        <x:v>SEC-004</x:v>
      </x:c>
      <x:c r="B79" s="13" t="str">
        <x:v>Untrusted code isolation verification</x:v>
      </x:c>
      <x:c r="C79" s="13" t="str">
        <x:v>Security and data handling</x:v>
      </x:c>
      <x:c r="D79" s="13" t="str">
        <x:v>Production</x:v>
      </x:c>
      <x:c r="E79" s="16" t="str">
        <x:v>Blocked</x:v>
      </x:c>
      <x:c r="F79" s="13" t="str">
        <x:v>P10</x:v>
      </x:c>
      <x:c r="G79" s="13" t="str">
        <x:v>P0</x:v>
      </x:c>
      <x:c r="H79" s="13" t="str">
        <x:v>Owner supplies access/decision; Codex executes verification</x:v>
      </x:c>
      <x:c r="I79" s="13" t="str">
        <x:v>Only limited browser worker isolation is implemented Build03 review: remaining acceptance requires the named external gate; not represented as verified.</x:v>
      </x:c>
      <x:c r="J79" s="13" t="str">
        <x:v>Threat-model and test remote runner independently of trusted API containers.</x:v>
      </x:c>
      <x:c r="K79" s="13" t="str">
        <x:v>Network/metadata/secret/filesystem/cross-job escape probes cannot access protected resources.</x:v>
      </x:c>
      <x:c r="L79" s="13" t="str">
        <x:v>23-26; production requirement</x:v>
      </x:c>
      <x:c r="M79" s="13" t="str">
        <x:v>B01/B02</x:v>
      </x:c>
      <x:c r="N79" s="14" t="d">
        <x:v>2026-10-22T00:00:00.000Z</x:v>
      </x:c>
    </x:row>
    <x:row r="80" ht="66" customHeight="1">
      <x:c r="A80" s="15" t="str">
        <x:v>SEC-008</x:v>
      </x:c>
      <x:c r="B80" s="13" t="str">
        <x:v>Consent and privacy implementation</x:v>
      </x:c>
      <x:c r="C80" s="13" t="str">
        <x:v>Security and data handling</x:v>
      </x:c>
      <x:c r="D80" s="13" t="str">
        <x:v>Production</x:v>
      </x:c>
      <x:c r="E80" s="16" t="str">
        <x:v>Partial</x:v>
      </x:c>
      <x:c r="F80" s="13" t="str">
        <x:v>P10</x:v>
      </x:c>
      <x:c r="G80" s="13" t="str">
        <x:v>P0</x:v>
      </x:c>
      <x:c r="H80" s="13" t="str">
        <x:v>Codex owns remaining engineering; owner supplies listed external gates</x:v>
      </x:c>
      <x:c r="I80" s="13" t="str">
        <x:v>Generic policy text and local-storage preferences only</x:v>
      </x:c>
      <x:c r="J80" s="13" t="str">
        <x:v>Implement consent where required and document actual region/provider/retention flows.</x:v>
      </x:c>
      <x:c r="K80" s="13" t="str">
        <x:v>User preferences affect storage/evaluation behavior and relevant metadata is auditable.</x:v>
      </x:c>
      <x:c r="L80" s="13" t="str">
        <x:v>37-41</x:v>
      </x:c>
      <x:c r="M80" s="13" t="str">
        <x:v>B08</x:v>
      </x:c>
      <x:c r="N80" s="14" t="d">
        <x:v>2026-10-22T00:00:00.000Z</x:v>
      </x:c>
    </x:row>
    <x:row r="81" ht="66" customHeight="1">
      <x:c r="A81" s="15" t="str">
        <x:v>SEC-010</x:v>
      </x:c>
      <x:c r="B81" s="13" t="str">
        <x:v>Dependency, container and supply-chain checks</x:v>
      </x:c>
      <x:c r="C81" s="13" t="str">
        <x:v>Security and data handling</x:v>
      </x:c>
      <x:c r="D81" s="13" t="str">
        <x:v>Production</x:v>
      </x:c>
      <x:c r="E81" s="16" t="str">
        <x:v>Partial</x:v>
      </x:c>
      <x:c r="F81" s="13" t="str">
        <x:v>P10</x:v>
      </x:c>
      <x:c r="G81" s="13" t="str">
        <x:v>P0</x:v>
      </x:c>
      <x:c r="H81" s="13" t="str">
        <x:v>Codex owns remaining engineering; owner supplies listed external gates</x:v>
      </x:c>
      <x:c r="I81" s="13" t="str">
        <x:v>Lockfile and TypeScript tests exist</x:v>
      </x:c>
      <x:c r="J81" s="13" t="str">
        <x:v>Pin runtimes, scan dependencies/images, create SBOM and verify provenance in CI.</x:v>
      </x:c>
      <x:c r="K81" s="13" t="str">
        <x:v>Release images have no unresolved policy-blocking findings and map to a source commit.</x:v>
      </x:c>
      <x:c r="L81" s="13" t="str">
        <x:v>Production requirement</x:v>
      </x:c>
      <x:c r="M81" s="13" t="str">
        <x:v>B01</x:v>
      </x:c>
      <x:c r="N81" s="14" t="d">
        <x:v>2026-10-22T00:00:00.000Z</x:v>
      </x:c>
    </x:row>
    <x:row r="82" ht="66" customHeight="1">
      <x:c r="A82" s="15" t="str">
        <x:v>SEC-012</x:v>
      </x:c>
      <x:c r="B82" s="13" t="str">
        <x:v>Commercial asset/font rights and own artwork</x:v>
      </x:c>
      <x:c r="C82" s="13" t="str">
        <x:v>Security and data handling</x:v>
      </x:c>
      <x:c r="D82" s="13" t="str">
        <x:v>Production</x:v>
      </x:c>
      <x:c r="E82" s="16" t="str">
        <x:v>Partial</x:v>
      </x:c>
      <x:c r="F82" s="13" t="str">
        <x:v>P10</x:v>
      </x:c>
      <x:c r="G82" s="13" t="str">
        <x:v>P0</x:v>
      </x:c>
      <x:c r="H82" s="13" t="str">
        <x:v>Codex owns remaining engineering; owner supplies listed external gates</x:v>
      </x:c>
      <x:c r="I82" s="13" t="str">
        <x:v>Reference tool art/screenshots/fonts were downloaded for requested visual matching</x:v>
      </x:c>
      <x:c r="J82" s="13" t="str">
        <x:v>Replace reference product artwork with own recreated visuals and verify third-party licenses.</x:v>
      </x:c>
      <x:c r="K82" s="13" t="str">
        <x:v>Release asset manifest records sources/licenses; no unapproved reference product branding/art remains.</x:v>
      </x:c>
      <x:c r="L82" s="13" t="str">
        <x:v>README.md Visual assets;01-05</x:v>
      </x:c>
      <x:c r="M82" s="13" t="str">
        <x:v>B08</x:v>
      </x:c>
      <x:c r="N82" s="14" t="d">
        <x:v>2026-10-22T00:00:00.000Z</x:v>
      </x:c>
    </x:row>
    <x:row r="83" ht="66" customHeight="1">
      <x:c r="A83" s="15" t="str">
        <x:v>API-006</x:v>
      </x:c>
      <x:c r="B83" s="13" t="str">
        <x:v>Account/files/history/billing/support CRUD</x:v>
      </x:c>
      <x:c r="C83" s="13" t="str">
        <x:v>Portable backend contracts</x:v>
      </x:c>
      <x:c r="D83" s="13" t="str">
        <x:v>Production</x:v>
      </x:c>
      <x:c r="E83" s="16" t="str">
        <x:v>Partial</x:v>
      </x:c>
      <x:c r="F83" s="13" t="str">
        <x:v>P01</x:v>
      </x:c>
      <x:c r="G83" s="13" t="str">
        <x:v>P0</x:v>
      </x:c>
      <x:c r="H83" s="13" t="str">
        <x:v>Codex owns remaining engineering; owner supplies listed external gates</x:v>
      </x:c>
      <x:c r="I83" s="13" t="str">
        <x:v>Owned preference, file revision, result-version and bulk-history APIs added with validation; existing ownership fixtures pass.</x:v>
      </x:c>
      <x:c r="J83" s="13" t="str">
        <x:v>Complete operator enrollment/console, correction/refund/invoice interfaces, support acknowledgements and native deployed browser acceptance.</x:v>
      </x:c>
      <x:c r="K83" s="13" t="str">
        <x:v>Every list/read/write path has positive and negative ownership tests.</x:v>
      </x:c>
      <x:c r="L83" s="13" t="str">
        <x:v>Current worker; production requirement</x:v>
      </x:c>
      <x:c r="M83" s="13" t="str">
        <x:v>B02/B04/B07</x:v>
      </x:c>
      <x:c r="N83" s="14" t="d">
        <x:v>2026-10-22T00:00:00.000Z</x:v>
      </x:c>
    </x:row>
    <x:row r="84" ht="66" customHeight="1">
      <x:c r="A84" s="15" t="str">
        <x:v>AUT-002</x:v>
      </x:c>
      <x:c r="B84" s="13" t="str">
        <x:v>Google login</x:v>
      </x:c>
      <x:c r="C84" s="13" t="str">
        <x:v>Authentication and accounts</x:v>
      </x:c>
      <x:c r="D84" s="13" t="str">
        <x:v>Reference</x:v>
      </x:c>
      <x:c r="E84" s="16" t="str">
        <x:v>Blocked</x:v>
      </x:c>
      <x:c r="F84" s="13" t="str">
        <x:v>P02</x:v>
      </x:c>
      <x:c r="G84" s="13" t="str">
        <x:v>P0</x:v>
      </x:c>
      <x:c r="H84" s="13" t="str">
        <x:v>Owner supplies access/decision; Codex executes verification</x:v>
      </x:c>
      <x:c r="I84" s="13" t="str">
        <x:v>portable/src/public-auth.ts: Google PKCE/state/nonce/JWK adapter; callback replay fixture passes Build03 review: remaining acceptance requires the named external gate; not represented as verified.</x:v>
      </x:c>
      <x:c r="J84" s="13" t="str">
        <x:v>Verify owner Google app on the exact staging/production domain.</x:v>
      </x:c>
      <x:c r="K84" s="13" t="str">
        <x:v>Real Google login succeeds on staging/production and rejects invalid callback/state.</x:v>
      </x:c>
      <x:c r="L84" s="13" t="str">
        <x:v>46</x:v>
      </x:c>
      <x:c r="M84" s="13" t="str">
        <x:v>B05/B06</x:v>
      </x:c>
      <x:c r="N84" s="14" t="d">
        <x:v>2026-10-22T00:00:00.000Z</x:v>
      </x:c>
    </x:row>
    <x:row r="85" ht="66" customHeight="1">
      <x:c r="A85" s="15" t="str">
        <x:v>AUT-003</x:v>
      </x:c>
      <x:c r="B85" s="13" t="str">
        <x:v>GitHub login</x:v>
      </x:c>
      <x:c r="C85" s="13" t="str">
        <x:v>Authentication and accounts</x:v>
      </x:c>
      <x:c r="D85" s="13" t="str">
        <x:v>Reference</x:v>
      </x:c>
      <x:c r="E85" s="16" t="str">
        <x:v>Partial</x:v>
      </x:c>
      <x:c r="F85" s="13" t="str">
        <x:v>P02</x:v>
      </x:c>
      <x:c r="G85" s="13" t="str">
        <x:v>P0</x:v>
      </x:c>
      <x:c r="H85" s="13" t="str">
        <x:v>Codex owns remaining engineering; owner supplies listed external gates</x:v>
      </x:c>
      <x:c r="I85" s="13" t="str">
        <x:v>portable/src/public-auth.ts: verified primary GitHub email; no silent linking fixture passes</x:v>
      </x:c>
      <x:c r="J85" s="13" t="str">
        <x:v>Verify real GitHub consent/callback and explicit account linking UI.</x:v>
      </x:c>
      <x:c r="K85" s="13" t="str">
        <x:v>GitHub login succeeds without silently linking an unverified matching email.</x:v>
      </x:c>
      <x:c r="L85" s="13" t="str">
        <x:v>46</x:v>
      </x:c>
      <x:c r="M85" s="13" t="str">
        <x:v>B05/B06</x:v>
      </x:c>
      <x:c r="N85" s="14" t="d">
        <x:v>2026-10-22T00:00:00.000Z</x:v>
      </x:c>
    </x:row>
    <x:row r="86" ht="66" customHeight="1">
      <x:c r="A86" s="15" t="str">
        <x:v>AUT-004</x:v>
      </x:c>
      <x:c r="B86" s="13" t="str">
        <x:v>Email one-time-code login</x:v>
      </x:c>
      <x:c r="C86" s="13" t="str">
        <x:v>Authentication and accounts</x:v>
      </x:c>
      <x:c r="D86" s="13" t="str">
        <x:v>Reference</x:v>
      </x:c>
      <x:c r="E86" s="16" t="str">
        <x:v>Blocked</x:v>
      </x:c>
      <x:c r="F86" s="13" t="str">
        <x:v>P02</x:v>
      </x:c>
      <x:c r="G86" s="13" t="str">
        <x:v>P0</x:v>
      </x:c>
      <x:c r="H86" s="13" t="str">
        <x:v>Owner supplies access/decision; Codex executes verification</x:v>
      </x:c>
      <x:c r="I86" s="13" t="str">
        <x:v>portable/src/public-auth.ts; SES adapter; expiry/replay/five-attempt/Secure-cookie tests pass Build03 review: remaining acceptance requires the named external gate; not represented as verified.</x:v>
      </x:c>
      <x:c r="J86" s="13" t="str">
        <x:v>Verify real sender delivery, human verification and email login in staging.</x:v>
      </x:c>
      <x:c r="K86" s="13" t="str">
        <x:v>Expired, replayed and brute-forced codes fail; valid code creates one safe session.</x:v>
      </x:c>
      <x:c r="L86" s="13" t="str">
        <x:v>46</x:v>
      </x:c>
      <x:c r="M86" s="13" t="str">
        <x:v>B05/B07</x:v>
      </x:c>
      <x:c r="N86" s="14" t="d">
        <x:v>2026-10-22T00:00:00.000Z</x:v>
      </x:c>
    </x:row>
    <x:row r="87" ht="66" customHeight="1">
      <x:c r="A87" s="15" t="str">
        <x:v>AUT-005</x:v>
      </x:c>
      <x:c r="B87" s="13" t="str">
        <x:v>Human verification and account-abuse controls</x:v>
      </x:c>
      <x:c r="C87" s="13" t="str">
        <x:v>Authentication and accounts</x:v>
      </x:c>
      <x:c r="D87" s="13" t="str">
        <x:v>Reference</x:v>
      </x:c>
      <x:c r="E87" s="16" t="str">
        <x:v>Partial</x:v>
      </x:c>
      <x:c r="F87" s="13" t="str">
        <x:v>P02</x:v>
      </x:c>
      <x:c r="G87" s="13" t="str">
        <x:v>P0</x:v>
      </x:c>
      <x:c r="H87" s="13" t="str">
        <x:v>Codex owns remaining engineering; owner supplies listed external gates</x:v>
      </x:c>
      <x:c r="I87" s="13" t="str">
        <x:v>Turnstile adapter, one-use token fingerprints and durable OTP/send windows; flood fixtures pass</x:v>
      </x:c>
      <x:c r="J87" s="13" t="str">
        <x:v>Validate actual hostname/action and viewer-IP handling through CloudFront. OAuth abuse tuning remains.</x:v>
      </x:c>
      <x:c r="K87" s="13" t="str">
        <x:v>Signup/OTP flood fixtures throttle before sending excess messages or spending AI quota.</x:v>
      </x:c>
      <x:c r="L87" s="13" t="str">
        <x:v>46</x:v>
      </x:c>
      <x:c r="M87" s="13" t="str">
        <x:v>B02/B05</x:v>
      </x:c>
      <x:c r="N87" s="14" t="d">
        <x:v>2026-10-22T00:00:00.000Z</x:v>
      </x:c>
    </x:row>
    <x:row r="88" ht="66" customHeight="1">
      <x:c r="A88" s="15" t="str">
        <x:v>AUT-009</x:v>
      </x:c>
      <x:c r="B88" s="13" t="str">
        <x:v>Operator access with MFA and role checks</x:v>
      </x:c>
      <x:c r="C88" s="13" t="str">
        <x:v>Authentication and accounts</x:v>
      </x:c>
      <x:c r="D88" s="13" t="str">
        <x:v>Reference</x:v>
      </x:c>
      <x:c r="E88" s="16" t="str">
        <x:v>Partial</x:v>
      </x:c>
      <x:c r="F88" s="13" t="str">
        <x:v>P02</x:v>
      </x:c>
      <x:c r="G88" s="13" t="str">
        <x:v>P0</x:v>
      </x:c>
      <x:c r="H88" s="13" t="str">
        <x:v>Codex owns remaining engineering; owner supplies listed external gates</x:v>
      </x:c>
      <x:c r="I88" s="13" t="str">
        <x:v>portable/src/protection.ts: role-gated replay-resistant TOTP; API controls/support gates; audit tests</x:v>
      </x:c>
      <x:c r="J88" s="13" t="str">
        <x:v>Protected operator enrollment, operator console and live MFA acceptance remain.</x:v>
      </x:c>
      <x:c r="K88" s="13" t="str">
        <x:v>Ordinary users cannot access support, billing correction or feature-flag controls.</x:v>
      </x:c>
      <x:c r="L88" s="13" t="str">
        <x:v>Production requirement</x:v>
      </x:c>
      <x:c r="M88" s="13" t="str">
        <x:v>B02/B08</x:v>
      </x:c>
      <x:c r="N88" s="14" t="d">
        <x:v>2026-10-22T00:00:00.000Z</x:v>
      </x:c>
    </x:row>
    <x:row r="89" ht="68" customHeight="1">
      <x:c r="A89" s="15" t="str">
        <x:v>DAT-009</x:v>
      </x:c>
      <x:c r="B89" s="13" t="str">
        <x:v>Indexes, pooling and paginated query plans</x:v>
      </x:c>
      <x:c r="C89" s="13" t="str">
        <x:v>Database and durable jobs</x:v>
      </x:c>
      <x:c r="D89" s="13" t="str">
        <x:v>Production</x:v>
      </x:c>
      <x:c r="E89" s="16" t="str">
        <x:v>Blocked</x:v>
      </x:c>
      <x:c r="F89" s="13" t="str">
        <x:v>P02</x:v>
      </x:c>
      <x:c r="G89" s="13" t="str">
        <x:v>P0</x:v>
      </x:c>
      <x:c r="H89" s="13" t="str">
        <x:v>Owner supplies access/decision; Codex executes verification</x:v>
      </x:c>
      <x:c r="I89" s="13" t="str">
        <x:v>Bounded pg pool, tenant indexes/pagination; operations.test.ts EXPLAIN ANALYZE with 10,000 rows uses index Build03 review: remaining acceptance requires the named external gate; not represented as verified.</x:v>
      </x:c>
      <x:c r="J89" s="13" t="str">
        <x:v>Measure native multi-connection query/pool budgets at representative staging load.</x:v>
      </x:c>
      <x:c r="K89" s="13" t="str">
        <x:v>Representative history/files/chat queries stay within documented latency/connection budgets at load.</x:v>
      </x:c>
      <x:c r="L89" s="13" t="str">
        <x:v>Production requirement</x:v>
      </x:c>
      <x:c r="M89" s="13" t="str">
        <x:v>B01/B02</x:v>
      </x:c>
      <x:c r="N89" s="14" t="d">
        <x:v>2026-10-22T00:00:00.000Z</x:v>
      </x:c>
    </x:row>
    <x:row r="90" ht="66" customHeight="1">
      <x:c r="A90" s="15" t="str">
        <x:v>DAT-010</x:v>
      </x:c>
      <x:c r="B90" s="13" t="str">
        <x:v>Backup, point-in-time recovery and restore drill</x:v>
      </x:c>
      <x:c r="C90" s="13" t="str">
        <x:v>Database and durable jobs</x:v>
      </x:c>
      <x:c r="D90" s="13" t="str">
        <x:v>Production</x:v>
      </x:c>
      <x:c r="E90" s="16" t="str">
        <x:v>Blocked</x:v>
      </x:c>
      <x:c r="F90" s="13" t="str">
        <x:v>P02</x:v>
      </x:c>
      <x:c r="G90" s="13" t="str">
        <x:v>P0</x:v>
      </x:c>
      <x:c r="H90" s="13" t="str">
        <x:v>Owner supplies access/decision; Codex executes verification</x:v>
      </x:c>
      <x:c r="I90" s="13" t="str">
        <x:v>infra/src/stacks.ts encrypted backup/PITR source; ops/RECOVERY.md and restore-record template Build03 review: remaining acceptance requires the named external gate; not represented as verified.</x:v>
      </x:c>
      <x:c r="J90" s="13" t="str">
        <x:v>Execute measured RDS/S3 restoration and reconcile usage/payment/deleted accounts.</x:v>
      </x:c>
      <x:c r="K90" s="13" t="str">
        <x:v>Restore drill meets approved RPO/RTO and reconciles billing/usage invariants.</x:v>
      </x:c>
      <x:c r="L90" s="13" t="str">
        <x:v>Production requirement</x:v>
      </x:c>
      <x:c r="M90" s="13" t="str">
        <x:v>B02/B08</x:v>
      </x:c>
      <x:c r="N90" s="14" t="d">
        <x:v>2026-10-22T00:00:00.000Z</x:v>
      </x:c>
    </x:row>
    <x:row r="91" ht="66" customHeight="1">
      <x:c r="A91" s="15" t="str">
        <x:v>EDT-008</x:v>
      </x:c>
      <x:c r="B91" s="13" t="str">
        <x:v>Rendered and sanitized Markdown results</x:v>
      </x:c>
      <x:c r="C91" s="13" t="str">
        <x:v>Shared editor and result controls</x:v>
      </x:c>
      <x:c r="D91" s="13" t="str">
        <x:v>Reference</x:v>
      </x:c>
      <x:c r="E91" s="16" t="str">
        <x:v>Implemented</x:v>
      </x:c>
      <x:c r="F91" s="13" t="str">
        <x:v>P03</x:v>
      </x:c>
      <x:c r="G91" s="13" t="str">
        <x:v>P0</x:v>
      </x:c>
      <x:c r="H91" s="13" t="str">
        <x:v>Codex / CI</x:v>
      </x:c>
      <x:c r="I91" s="13" t="str">
        <x:v>app/result-reading.tsx; tests/product-ui.test.tsx renders GFM/code and rejects scripts, raw HTML, unsafe links and images</x:v>
      </x:c>
      <x:c r="J91" s="13" t="str"/>
      <x:c r="K91" s="13" t="str">
        <x:v>Explanations and reviews match structured reading views; unsafe HTML and links cannot execute scripts.</x:v>
      </x:c>
      <x:c r="L91" s="13" t="str">
        <x:v>53-54,56-57</x:v>
      </x:c>
      <x:c r="M91" s="13" t="str"/>
      <x:c r="N91" s="14" t="d">
        <x:v>2026-10-22T00:00:00.000Z</x:v>
      </x:c>
    </x:row>
    <x:row r="92" ht="66" customHeight="1">
      <x:c r="A92" s="15" t="str">
        <x:v>CHT-003</x:v>
      </x:c>
      <x:c r="B92" s="13" t="str">
        <x:v>Persisted chat sessions and messages</x:v>
      </x:c>
      <x:c r="C92" s="13" t="str">
        <x:v>Right-side AI chatbot</x:v>
      </x:c>
      <x:c r="D92" s="13" t="str">
        <x:v>Reference</x:v>
      </x:c>
      <x:c r="E92" s="16" t="str">
        <x:v>Partial</x:v>
      </x:c>
      <x:c r="F92" s="13" t="str">
        <x:v>P04</x:v>
      </x:c>
      <x:c r="G92" s="13" t="str">
        <x:v>P0</x:v>
      </x:c>
      <x:c r="H92" s="13" t="str">
        <x:v>Codex owns remaining engineering; owner supplies listed external gates</x:v>
      </x:c>
      <x:c r="I92" s="13" t="str">
        <x:v>Newest-first 50-message pages and older cursors recover 125 messages without overlap; selected-session restore remains owned.</x:v>
      </x:c>
      <x:c r="J92" s="13" t="str">
        <x:v>Complete deployed reload/second-device acceptance and remaining session-switch/older-page browser race coverage.</x:v>
      </x:c>
      <x:c r="K92" s="13" t="str">
        <x:v>Reload restores the selected session; another user cannot list/read it.</x:v>
      </x:c>
      <x:c r="L92" s="13" t="str">
        <x:v>33,37; advertised</x:v>
      </x:c>
      <x:c r="M92" s="13" t="str">
        <x:v>B02/B06</x:v>
      </x:c>
      <x:c r="N92" s="14" t="d">
        <x:v>2026-10-22T00:00:00.000Z</x:v>
      </x:c>
    </x:row>
    <x:row r="93" ht="66" customHeight="1">
      <x:c r="A93" s="15" t="str">
        <x:v>CHT-006</x:v>
      </x:c>
      <x:c r="B93" s="13" t="str">
        <x:v>Assistant model and tier selection</x:v>
      </x:c>
      <x:c r="C93" s="13" t="str">
        <x:v>Right-side AI chatbot</x:v>
      </x:c>
      <x:c r="D93" s="13" t="str">
        <x:v>Reference</x:v>
      </x:c>
      <x:c r="E93" s="16" t="str">
        <x:v>Implemented</x:v>
      </x:c>
      <x:c r="F93" s="13" t="str">
        <x:v>P04</x:v>
      </x:c>
      <x:c r="G93" s="13" t="str">
        <x:v>P0</x:v>
      </x:c>
      <x:c r="H93" s="13" t="str">
        <x:v>Codex / CI</x:v>
      </x:c>
      <x:c r="I93" s="13" t="str">
        <x:v>Shared model registry, allowed-tier UI, server model/context/budget validation; paid/free and context-trimming tests pass</x:v>
      </x:c>
      <x:c r="J93" s="13" t="str"/>
      <x:c r="K93" s="13" t="str">
        <x:v>Changing model cannot bypass tier, context or spending restrictions.</x:v>
      </x:c>
      <x:c r="L93" s="13" t="str">
        <x:v>V1;28,30,33; advertised</x:v>
      </x:c>
      <x:c r="M93" s="13" t="str"/>
      <x:c r="N93" s="14" t="d">
        <x:v>2026-10-22T00:00:00.000Z</x:v>
      </x:c>
    </x:row>
    <x:row r="94" ht="68" customHeight="1">
      <x:c r="A94" s="15" t="str">
        <x:v>CHT-007</x:v>
      </x:c>
      <x:c r="B94" s="13" t="str">
        <x:v>Stream, stop, retry and recover chat replies</x:v>
      </x:c>
      <x:c r="C94" s="13" t="str">
        <x:v>Right-side AI chatbot</x:v>
      </x:c>
      <x:c r="D94" s="13" t="str">
        <x:v>Reference</x:v>
      </x:c>
      <x:c r="E94" s="16" t="str">
        <x:v>Blocked</x:v>
      </x:c>
      <x:c r="F94" s="13" t="str">
        <x:v>P04</x:v>
      </x:c>
      <x:c r="G94" s="13" t="str">
        <x:v>P0</x:v>
      </x:c>
      <x:c r="H94" s="13" t="str">
        <x:v>Owner supplies access/decision; Codex executes verification</x:v>
      </x:c>
      <x:c r="I94" s="13" t="str">
        <x:v>Persisted SSE events, Last-Event-ID reconnect, stop/cancel, partial assistant state, durable quota finalization; real HTTP fixture Build03 review: remaining acceptance requires the named external gate; not represented as verified.</x:v>
      </x:c>
      <x:c r="J94" s="13" t="str">
        <x:v>Run browser disconnect/stop/retry scenarios with a real provider through CloudFront.</x:v>
      </x:c>
      <x:c r="K94" s="13" t="str">
        <x:v>A stopped/failed reply is marked partial; retry settles quota once and preserves messages.</x:v>
      </x:c>
      <x:c r="L94" s="13" t="str">
        <x:v>28,30; advertised</x:v>
      </x:c>
      <x:c r="M94" s="13" t="str">
        <x:v>B02/B03</x:v>
      </x:c>
      <x:c r="N94" s="14" t="d">
        <x:v>2026-10-22T00:00:00.000Z</x:v>
      </x:c>
    </x:row>
    <x:row r="95" ht="66" customHeight="1">
      <x:c r="A95" s="15" t="str">
        <x:v>TOL-006</x:v>
      </x:c>
      <x:c r="B95" s="13" t="str">
        <x:v>Fixer inline diff and plain fixed-code tabs</x:v>
      </x:c>
      <x:c r="C95" s="13" t="str">
        <x:v>AI coding tools</x:v>
      </x:c>
      <x:c r="D95" s="13" t="str">
        <x:v>Reference</x:v>
      </x:c>
      <x:c r="E95" s="16" t="str">
        <x:v>Implemented</x:v>
      </x:c>
      <x:c r="F95" s="13" t="str">
        <x:v>P04</x:v>
      </x:c>
      <x:c r="G95" s="13" t="str">
        <x:v>P0</x:v>
      </x:c>
      <x:c r="H95" s="13" t="str">
        <x:v>Codex / CI</x:v>
      </x:c>
      <x:c r="I95" s="13" t="str">
        <x:v>app/result-reading.tsx FixResult; changed-line and clean fixed-code extraction tests for missing-colon fixture</x:v>
      </x:c>
      <x:c r="J95" s="13" t="str"/>
      <x:c r="K95" s="13" t="str">
        <x:v>Missing-colon fixture highlights exactly the changed lines and plain-code export omits markers.</x:v>
      </x:c>
      <x:c r="L95" s="13" t="str">
        <x:v>50-51</x:v>
      </x:c>
      <x:c r="M95" s="13" t="str"/>
      <x:c r="N95" s="14" t="d">
        <x:v>2026-10-22T00:00:00.000Z</x:v>
      </x:c>
    </x:row>
    <x:row r="96" ht="66" customHeight="1">
      <x:c r="A96" s="15" t="str">
        <x:v>TOL-007</x:v>
      </x:c>
      <x:c r="B96" s="13" t="str">
        <x:v>Fixer What I Changed summary</x:v>
      </x:c>
      <x:c r="C96" s="13" t="str">
        <x:v>AI coding tools</x:v>
      </x:c>
      <x:c r="D96" s="13" t="str">
        <x:v>Reference</x:v>
      </x:c>
      <x:c r="E96" s="16" t="str">
        <x:v>Implemented</x:v>
      </x:c>
      <x:c r="F96" s="13" t="str">
        <x:v>P04</x:v>
      </x:c>
      <x:c r="G96" s="13" t="str">
        <x:v>P0</x:v>
      </x:c>
      <x:c r="H96" s="13" t="str">
        <x:v>Codex / CI</x:v>
      </x:c>
      <x:c r="I96" s="13" t="str">
        <x:v>Computed additions/removals and What I Changed text; no fabricated execution/test result; UI fixture passes</x:v>
      </x:c>
      <x:c r="J96" s="13" t="str"/>
      <x:c r="K96" s="13" t="str">
        <x:v>Summary corresponds to actual diff and contains no fabricated execution status.</x:v>
      </x:c>
      <x:c r="L96" s="13" t="str">
        <x:v>50</x:v>
      </x:c>
      <x:c r="M96" s="13" t="str"/>
      <x:c r="N96" s="14" t="d">
        <x:v>2026-10-22T00:00:00.000Z</x:v>
      </x:c>
    </x:row>
    <x:row r="97" ht="66" customHeight="1">
      <x:c r="A97" s="15" t="str">
        <x:v>TOL-010</x:v>
      </x:c>
      <x:c r="B97" s="13" t="str">
        <x:v>Model capability registry and Standard/Advanced routing</x:v>
      </x:c>
      <x:c r="C97" s="13" t="str">
        <x:v>AI coding tools</x:v>
      </x:c>
      <x:c r="D97" s="13" t="str">
        <x:v>Reference</x:v>
      </x:c>
      <x:c r="E97" s="16" t="str">
        <x:v>Implemented</x:v>
      </x:c>
      <x:c r="F97" s="13" t="str">
        <x:v>P04</x:v>
      </x:c>
      <x:c r="G97" s="13" t="str">
        <x:v>P0</x:v>
      </x:c>
      <x:c r="H97" s="13" t="str">
        <x:v>Codex / CI</x:v>
      </x:c>
      <x:c r="I97" s="13" t="str">
        <x:v>portable/src/product-policy.ts and provider.ts; Standard/Advanced IDs, model mapping, tier/output rules; contract fixtures pass</x:v>
      </x:c>
      <x:c r="J97" s="13" t="str"/>
      <x:c r="K97" s="13" t="str">
        <x:v>Only allowed models appear; server validates model tier and routes requests consistently.</x:v>
      </x:c>
      <x:c r="L97" s="13" t="str">
        <x:v>28,30,33,37; advertised; V1</x:v>
      </x:c>
      <x:c r="M97" s="13" t="str"/>
      <x:c r="N97" s="14" t="d">
        <x:v>2026-10-22T00:00:00.000Z</x:v>
      </x:c>
    </x:row>
    <x:row r="98" ht="68" customHeight="1">
      <x:c r="A98" s="15" t="str">
        <x:v>TOL-011</x:v>
      </x:c>
      <x:c r="B98" s="13" t="str">
        <x:v>Provider response streaming</x:v>
      </x:c>
      <x:c r="C98" s="13" t="str">
        <x:v>AI coding tools</x:v>
      </x:c>
      <x:c r="D98" s="13" t="str">
        <x:v>Reference</x:v>
      </x:c>
      <x:c r="E98" s="16" t="str">
        <x:v>Blocked</x:v>
      </x:c>
      <x:c r="F98" s="13" t="str">
        <x:v>P04</x:v>
      </x:c>
      <x:c r="G98" s="13" t="str">
        <x:v>P0</x:v>
      </x:c>
      <x:c r="H98" s="13" t="str">
        <x:v>Owner supplies access/decision; Codex executes verification</x:v>
      </x:c>
      <x:c r="I98" s="13" t="str">
        <x:v>provider.ts bounded UTF-8 SSE parser; worker persisted deltas; owned API stream and real loopback HTTP replay tests Build03 review: remaining acceptance requires the named external gate; not represented as verified.</x:v>
      </x:c>
      <x:c r="J98" s="13" t="str">
        <x:v>Verify actual provider and CloudFront idle/reconnect/cancellation behavior under load.</x:v>
      </x:c>
      <x:c r="K98" s="13" t="str">
        <x:v>Long response streams through local/staging/CloudFront paths without corrupting output or double billing.</x:v>
      </x:c>
      <x:c r="L98" s="13" t="str">
        <x:v>28,30; advertised</x:v>
      </x:c>
      <x:c r="M98" s="13" t="str">
        <x:v>B02/B03</x:v>
      </x:c>
      <x:c r="N98" s="14" t="d">
        <x:v>2026-10-22T00:00:00.000Z</x:v>
      </x:c>
    </x:row>
    <x:row r="99" ht="68" customHeight="1">
      <x:c r="A99" s="15" t="str">
        <x:v>FIL-002</x:v>
      </x:c>
      <x:c r="B99" s="13" t="str">
        <x:v>Private cloud uploads and downloads</x:v>
      </x:c>
      <x:c r="C99" s="13" t="str">
        <x:v>Files and context</x:v>
      </x:c>
      <x:c r="D99" s="13" t="str">
        <x:v>Reference</x:v>
      </x:c>
      <x:c r="E99" s="16" t="str">
        <x:v>Blocked</x:v>
      </x:c>
      <x:c r="F99" s="13" t="str">
        <x:v>P05</x:v>
      </x:c>
      <x:c r="G99" s="13" t="str">
        <x:v>P0</x:v>
      </x:c>
      <x:c r="H99" s="13" t="str">
        <x:v>Owner supplies access/decision; Codex executes verification</x:v>
      </x:c>
      <x:c r="I99" s="13" t="str">
        <x:v>Private KMS S3 adapter, bounded signed PUT metadata, integrity download/ownership checks; browser file routes wired Build03 review: remaining acceptance requires the named external gate; not represented as verified.</x:v>
      </x:c>
      <x:c r="J99" s="13" t="str">
        <x:v>Exercise actual S3/KMS/presigned CORS and cross-account negative tests; enforce final plan file capacities.</x:v>
      </x:c>
      <x:c r="K99" s="13" t="str">
        <x:v>Uploaded file is private, size/type verified and inaccessible to another workspace.</x:v>
      </x:c>
      <x:c r="L99" s="13" t="str">
        <x:v>05,33,37; advertised</x:v>
      </x:c>
      <x:c r="M99" s="13" t="str">
        <x:v>B02</x:v>
      </x:c>
      <x:c r="N99" s="14" t="d">
        <x:v>2026-10-22T00:00:00.000Z</x:v>
      </x:c>
    </x:row>
    <x:row r="100" ht="66" customHeight="1">
      <x:c r="A100" s="15" t="str">
        <x:v>FIL-004</x:v>
      </x:c>
      <x:c r="B100" s="13" t="str">
        <x:v>ZIP project import</x:v>
      </x:c>
      <x:c r="C100" s="13" t="str">
        <x:v>Files and context</x:v>
      </x:c>
      <x:c r="D100" s="13" t="str">
        <x:v>Reference</x:v>
      </x:c>
      <x:c r="E100" s="16" t="str">
        <x:v>Implemented</x:v>
      </x:c>
      <x:c r="F100" s="13" t="str">
        <x:v>P05</x:v>
      </x:c>
      <x:c r="G100" s="13" t="str">
        <x:v>P0</x:v>
      </x:c>
      <x:c r="H100" s="13" t="str">
        <x:v>Codex / CI</x:v>
      </x:c>
      <x:c r="I100" s="13" t="str">
        <x:v>Shared ZIP validator + bounded browser/server inflation, CRC/UTF-8/path/symlink/duplicate/ratio limits; malicious fixtures pass</x:v>
      </x:c>
      <x:c r="J100" s="13" t="str"/>
      <x:c r="K100" s="13" t="str">
        <x:v>Safe project imports; malicious paths and zip bombs fail before extraction.</x:v>
      </x:c>
      <x:c r="L100" s="13" t="str">
        <x:v>33; advertised</x:v>
      </x:c>
      <x:c r="M100" s="13" t="str"/>
      <x:c r="N100" s="14" t="d">
        <x:v>2026-10-22T00:00:00.000Z</x:v>
      </x:c>
    </x:row>
    <x:row r="101" ht="66" customHeight="1">
      <x:c r="A101" s="15" t="str">
        <x:v>FIL-005</x:v>
      </x:c>
      <x:c r="B101" s="13" t="str">
        <x:v>Automatic dependency/build-folder exclusion</x:v>
      </x:c>
      <x:c r="C101" s="13" t="str">
        <x:v>Files and context</x:v>
      </x:c>
      <x:c r="D101" s="13" t="str">
        <x:v>Reference</x:v>
      </x:c>
      <x:c r="E101" s="16" t="str">
        <x:v>Implemented</x:v>
      </x:c>
      <x:c r="F101" s="13" t="str">
        <x:v>P05</x:v>
      </x:c>
      <x:c r="G101" s="13" t="str">
        <x:v>P0</x:v>
      </x:c>
      <x:c r="H101" s="13" t="str">
        <x:v>Codex / CI</x:v>
      </x:c>
      <x:c r="I101" s="13" t="str">
        <x:v>Shared dependency/build/secret-name exclusions and explicit import report; browser/server fixtures pass</x:v>
      </x:c>
      <x:c r="J101" s="13" t="str"/>
      <x:c r="K101" s="13" t="str">
        <x:v>Excluded folders never enter uploaded context; import report lists exclusions.</x:v>
      </x:c>
      <x:c r="L101" s="13" t="str">
        <x:v>33; advertised</x:v>
      </x:c>
      <x:c r="M101" s="13" t="str"/>
      <x:c r="N101" s="14" t="d">
        <x:v>2026-10-22T00:00:00.000Z</x:v>
      </x:c>
    </x:row>
    <x:row r="102" ht="66" customHeight="1">
      <x:c r="A102" s="15" t="str">
        <x:v>FIL-008</x:v>
      </x:c>
      <x:c r="B102" s="13" t="str">
        <x:v>Upload quarantine and extraction jobs</x:v>
      </x:c>
      <x:c r="C102" s="13" t="str">
        <x:v>Files and context</x:v>
      </x:c>
      <x:c r="D102" s="13" t="str">
        <x:v>Reference</x:v>
      </x:c>
      <x:c r="E102" s="16" t="str">
        <x:v>Partial</x:v>
      </x:c>
      <x:c r="F102" s="13" t="str">
        <x:v>P05</x:v>
      </x:c>
      <x:c r="G102" s="13" t="str">
        <x:v>P0</x:v>
      </x:c>
      <x:c r="H102" s="13" t="str">
        <x:v>Codex owns remaining engineering; owner supplies listed external gates</x:v>
      </x:c>
      <x:c r="I102" s="13" t="str">
        <x:v>Quarantine metadata, signed size/checksum verification, extraction outbox and safe-prefix promotion; integrity fixture passes</x:v>
      </x:c>
      <x:c r="J102" s="13" t="str">
        <x:v>Verify S3 retries/lifecycle and failed-job recovery; binary parsers/malware scanning are not implemented.</x:v>
      </x:c>
      <x:c r="K102" s="13" t="str">
        <x:v>Only clean extracted files become context; failed jobs can be retried without duplicate records.</x:v>
      </x:c>
      <x:c r="L102" s="13" t="str">
        <x:v>Production requirement</x:v>
      </x:c>
      <x:c r="M102" s="13" t="str">
        <x:v>B01/B02</x:v>
      </x:c>
      <x:c r="N102" s="14" t="d">
        <x:v>2026-10-22T00:00:00.000Z</x:v>
      </x:c>
    </x:row>
    <x:row r="103" ht="68" customHeight="1">
      <x:c r="A103" s="15" t="str">
        <x:v>FIL-009</x:v>
      </x:c>
      <x:c r="B103" s="13" t="str">
        <x:v>Cloud file visibility, deletion and cleanup</x:v>
      </x:c>
      <x:c r="C103" s="13" t="str">
        <x:v>Files and context</x:v>
      </x:c>
      <x:c r="D103" s="13" t="str">
        <x:v>Reference</x:v>
      </x:c>
      <x:c r="E103" s="16" t="str">
        <x:v>Blocked</x:v>
      </x:c>
      <x:c r="F103" s="13" t="str">
        <x:v>P05</x:v>
      </x:c>
      <x:c r="G103" s="13" t="str">
        <x:v>P0</x:v>
      </x:c>
      <x:c r="H103" s="13" t="str">
        <x:v>Owner supplies access/decision; Codex executes verification</x:v>
      </x:c>
      <x:c r="I103" s="13" t="str">
        <x:v>Immediate owner-scoped deny/delete, frozen-context redaction and durable object-delete jobs; fixture passes Build03 review: remaining acceptance requires the named external gate; not represented as verified.</x:v>
      </x:c>
      <x:c r="J103" s="13" t="str">
        <x:v>Verify real versioned S3/backup expiry and all derived cleanup under approved retention.</x:v>
      </x:c>
      <x:c r="K103" s="13" t="str">
        <x:v>Deleted file loses access immediately and all derived copies are processed under retention policy.</x:v>
      </x:c>
      <x:c r="L103" s="13" t="str">
        <x:v>37; advertised</x:v>
      </x:c>
      <x:c r="M103" s="13" t="str">
        <x:v>B02/B08</x:v>
      </x:c>
      <x:c r="N103" s="14" t="d">
        <x:v>2026-10-22T00:00:00.000Z</x:v>
      </x:c>
    </x:row>
    <x:row r="104" ht="66" customHeight="1">
      <x:c r="A104" s="15" t="str">
        <x:v>FIL-010</x:v>
      </x:c>
      <x:c r="B104" s="13" t="str">
        <x:v>File revisions, checksums and stale-context handling</x:v>
      </x:c>
      <x:c r="C104" s="13" t="str">
        <x:v>Files and context</x:v>
      </x:c>
      <x:c r="D104" s="13" t="str">
        <x:v>Reference</x:v>
      </x:c>
      <x:c r="E104" s="16" t="str">
        <x:v>Partial</x:v>
      </x:c>
      <x:c r="F104" s="13" t="str">
        <x:v>P05</x:v>
      </x:c>
      <x:c r="G104" s="13" t="str">
        <x:v>P0</x:v>
      </x:c>
      <x:c r="H104" s="13" t="str">
        <x:v>Codex owns remaining engineering; owner supplies listed external gates</x:v>
      </x:c>
      <x:c r="I104" s="13" t="str">
        <x:v>Cloud file revision editing, expected-version save, provenance/checksum list, file pagination and actual sizes are wired. Stale and frozen-context fixtures pass.</x:v>
      </x:c>
      <x:c r="J104" s="13" t="str">
        <x:v>Run concurrent revision edits against deployed native storage and complete owned file-browser acceptance.</x:v>
      </x:c>
      <x:c r="K104" s="13" t="str">
        <x:v>Results disclose the revision used; later uploads do not silently change past context.</x:v>
      </x:c>
      <x:c r="L104" s="13" t="str">
        <x:v>Production requirement</x:v>
      </x:c>
      <x:c r="M104" s="13" t="str">
        <x:v>B01/B02</x:v>
      </x:c>
      <x:c r="N104" s="14" t="d">
        <x:v>2026-10-22T00:00:00.000Z</x:v>
      </x:c>
    </x:row>
    <x:row r="105" ht="66" customHeight="1">
      <x:c r="A105" s="15" t="str">
        <x:v>HIS-003</x:v>
      </x:c>
      <x:c r="B105" s="13" t="str">
        <x:v>Cloud history with pagination and cross-device sync</x:v>
      </x:c>
      <x:c r="C105" s="13" t="str">
        <x:v>History and privacy preferences</x:v>
      </x:c>
      <x:c r="D105" s="13" t="str">
        <x:v>Reference</x:v>
      </x:c>
      <x:c r="E105" s="16" t="str">
        <x:v>Partial</x:v>
      </x:c>
      <x:c r="F105" s="13" t="str">
        <x:v>P05</x:v>
      </x:c>
      <x:c r="G105" s="13" t="str">
        <x:v>P0</x:v>
      </x:c>
      <x:c r="H105" s="13" t="str">
        <x:v>Codex owns remaining engineering; owner supplies listed external gates</x:v>
      </x:c>
      <x:c r="I105" s="13" t="str">
        <x:v>Paged owner-scoped durable run history and browser load-more/detail/note wiring; API cursor tests pass</x:v>
      </x:c>
      <x:c r="J105" s="13" t="str">
        <x:v>Second-device browser acceptance, complete cloud export UI and local-tool history persistence remain.</x:v>
      </x:c>
      <x:c r="K105" s="13" t="str">
        <x:v>Results persist across devices and paginate without leaking other users records.</x:v>
      </x:c>
      <x:c r="L105" s="13" t="str">
        <x:v>05,33,37; advertised</x:v>
      </x:c>
      <x:c r="M105" s="13" t="str">
        <x:v>B02/B06</x:v>
      </x:c>
      <x:c r="N105" s="14" t="d">
        <x:v>2026-10-22T00:00:00.000Z</x:v>
      </x:c>
    </x:row>
    <x:row r="106" ht="66" customHeight="1">
      <x:c r="A106" s="15" t="str">
        <x:v>HIS-006</x:v>
      </x:c>
      <x:c r="B106" s="13" t="str">
        <x:v>Internal-evaluation opt-out</x:v>
      </x:c>
      <x:c r="C106" s="13" t="str">
        <x:v>History and privacy preferences</x:v>
      </x:c>
      <x:c r="D106" s="13" t="str">
        <x:v>Reference</x:v>
      </x:c>
      <x:c r="E106" s="16" t="str">
        <x:v>Implemented</x:v>
      </x:c>
      <x:c r="F106" s="13" t="str">
        <x:v>P05</x:v>
      </x:c>
      <x:c r="G106" s="13" t="str">
        <x:v>P0</x:v>
      </x:c>
      <x:c r="H106" s="13" t="str">
        <x:v>Codex / CI</x:v>
      </x:c>
      <x:c r="I106" s="13" t="str">
        <x:v>Default evaluation opt-out, explicit preference UI, consent snapshot and current-user filtering; opt-in/out fixture passes</x:v>
      </x:c>
      <x:c r="J106" s="13" t="str"/>
      <x:c r="K106" s="13" t="str">
        <x:v>Opted-out content never enters evaluation datasets; policy matches implementation.</x:v>
      </x:c>
      <x:c r="L106" s="13" t="str">
        <x:v>37; advertised</x:v>
      </x:c>
      <x:c r="M106" s="13" t="str"/>
      <x:c r="N106" s="14" t="d">
        <x:v>2026-10-22T00:00:00.000Z</x:v>
      </x:c>
    </x:row>
    <x:row r="107" ht="66" customHeight="1">
      <x:c r="A107" s="15" t="str">
        <x:v>HIS-007</x:v>
      </x:c>
      <x:c r="B107" s="13" t="str">
        <x:v>Provider data-retention disclosure and exceptions</x:v>
      </x:c>
      <x:c r="C107" s="13" t="str">
        <x:v>History and privacy preferences</x:v>
      </x:c>
      <x:c r="D107" s="13" t="str">
        <x:v>Reference</x:v>
      </x:c>
      <x:c r="E107" s="16" t="str">
        <x:v>Blocked</x:v>
      </x:c>
      <x:c r="F107" s="13" t="str">
        <x:v>P05</x:v>
      </x:c>
      <x:c r="G107" s="13" t="str">
        <x:v>P0</x:v>
      </x:c>
      <x:c r="H107" s="13" t="str">
        <x:v>Owner decision/access; Codex after unblock</x:v>
      </x:c>
      <x:c r="I107" s="13" t="str">
        <x:v>Model disclosure placeholders and Code Privacy state that provider retention is unapproved; AI startup requires approval</x:v>
      </x:c>
      <x:c r="J107" s="13" t="str">
        <x:v>Owner must approve the actual provider/model contract and route-specific retention/exceptions before enabling AI.</x:v>
      </x:c>
      <x:c r="K107" s="13" t="str">
        <x:v>Each selectable model shows accurate data handling approved for that route.</x:v>
      </x:c>
      <x:c r="L107" s="13" t="str">
        <x:v>33,37; advertised</x:v>
      </x:c>
      <x:c r="M107" s="13" t="str">
        <x:v>B03/B08</x:v>
      </x:c>
      <x:c r="N107" s="14" t="d">
        <x:v>2026-10-22T00:00:00.000Z</x:v>
      </x:c>
    </x:row>
    <x:row r="108" ht="66" customHeight="1">
      <x:c r="A108" s="15" t="str">
        <x:v>SHR-001</x:v>
      </x:c>
      <x:c r="B108" s="13" t="str">
        <x:v>Explicit share-result creation and copy link</x:v>
      </x:c>
      <x:c r="C108" s="13" t="str">
        <x:v>Shared results</x:v>
      </x:c>
      <x:c r="D108" s="13" t="str">
        <x:v>Reference</x:v>
      </x:c>
      <x:c r="E108" s="16" t="str">
        <x:v>Implemented</x:v>
      </x:c>
      <x:c r="F108" s="13" t="str">
        <x:v>P05</x:v>
      </x:c>
      <x:c r="G108" s="13" t="str">
        <x:v>P0</x:v>
      </x:c>
      <x:c r="H108" s="13" t="str">
        <x:v>Codex / CI</x:v>
      </x:c>
      <x:c r="I108" s="13" t="str">
        <x:v>Explicit result-only share creation, copy/link UI and owner list; hidden source/attachments excluded in snapshot fixture</x:v>
      </x:c>
      <x:c r="J108" s="13" t="str"/>
      <x:c r="K108" s="13" t="str">
        <x:v>Sharing creates a link only after explicit action and does not include hidden source/context.</x:v>
      </x:c>
      <x:c r="L108" s="13" t="str">
        <x:v>09,50-55</x:v>
      </x:c>
      <x:c r="M108" s="13" t="str"/>
      <x:c r="N108" s="14" t="d">
        <x:v>2026-10-22T00:00:00.000Z</x:v>
      </x:c>
    </x:row>
    <x:row r="109" ht="66" customHeight="1">
      <x:c r="A109" s="15" t="str">
        <x:v>SHR-002</x:v>
      </x:c>
      <x:c r="B109" s="13" t="str">
        <x:v>Read-only shared-result page</x:v>
      </x:c>
      <x:c r="C109" s="13" t="str">
        <x:v>Shared results</x:v>
      </x:c>
      <x:c r="D109" s="13" t="str">
        <x:v>Reference</x:v>
      </x:c>
      <x:c r="E109" s="16" t="str">
        <x:v>Implemented</x:v>
      </x:c>
      <x:c r="F109" s="13" t="str">
        <x:v>P05</x:v>
      </x:c>
      <x:c r="G109" s="13" t="str">
        <x:v>P0</x:v>
      </x:c>
      <x:c r="H109" s="13" t="str">
        <x:v>Codex / CI</x:v>
      </x:c>
      <x:c r="I109" s="13" t="str">
        <x:v>app/shared-result.tsx; fragment-token POST resolver and read-only snapshot; positive/negative API fixture passes</x:v>
      </x:c>
      <x:c r="J109" s="13" t="str"/>
      <x:c r="K109" s="13" t="str">
        <x:v>Recipient can view the intended snapshot but cannot browse owner history or mutate it.</x:v>
      </x:c>
      <x:c r="L109" s="13" t="str">
        <x:v>09,50-55</x:v>
      </x:c>
      <x:c r="M109" s="13" t="str"/>
      <x:c r="N109" s="14" t="d">
        <x:v>2026-10-22T00:00:00.000Z</x:v>
      </x:c>
    </x:row>
    <x:row r="110" ht="66" customHeight="1">
      <x:c r="A110" s="15" t="str">
        <x:v>SHR-003</x:v>
      </x:c>
      <x:c r="B110" s="13" t="str">
        <x:v>Share expiration, revocation and noindex</x:v>
      </x:c>
      <x:c r="C110" s="13" t="str">
        <x:v>Shared results</x:v>
      </x:c>
      <x:c r="D110" s="13" t="str">
        <x:v>Reference</x:v>
      </x:c>
      <x:c r="E110" s="16" t="str">
        <x:v>Implemented</x:v>
      </x:c>
      <x:c r="F110" s="13" t="str">
        <x:v>P05</x:v>
      </x:c>
      <x:c r="G110" s="13" t="str">
        <x:v>P0</x:v>
      </x:c>
      <x:c r="H110" s="13" t="str">
        <x:v>Codex / CI</x:v>
      </x:c>
      <x:c r="I110" s="13" t="str">
        <x:v>Expiry/revoke service and owner UI, hashed tokens, noindex API/page/standalone metadata; expiry/replay fixtures pass</x:v>
      </x:c>
      <x:c r="J110" s="13" t="str"/>
      <x:c r="K110" s="13" t="str">
        <x:v>Expired/revoked links stop working; workspace IDs cannot be used as share tokens.</x:v>
      </x:c>
      <x:c r="L110" s="13" t="str">
        <x:v>Production requirement</x:v>
      </x:c>
      <x:c r="M110" s="13" t="str"/>
      <x:c r="N110" s="14" t="d">
        <x:v>2026-10-22T00:00:00.000Z</x:v>
      </x:c>
    </x:row>
    <x:row r="111" ht="66" customHeight="1">
      <x:c r="A111" s="15" t="str">
        <x:v>PDF-003</x:v>
      </x:c>
      <x:c r="B111" s="13" t="str">
        <x:v>Five selectable PDF font sizes</x:v>
      </x:c>
      <x:c r="C111" s="13" t="str">
        <x:v>Code-to-PDF</x:v>
      </x:c>
      <x:c r="D111" s="13" t="str">
        <x:v>Reference</x:v>
      </x:c>
      <x:c r="E111" s="16" t="str">
        <x:v>Implemented</x:v>
      </x:c>
      <x:c r="F111" s="13" t="str">
        <x:v>P06</x:v>
      </x:c>
      <x:c r="G111" s="13" t="str">
        <x:v>P0</x:v>
      </x:c>
      <x:c r="H111" s="13" t="str">
        <x:v>Codex / CI</x:v>
      </x:c>
      <x:c r="I111" s="13" t="str">
        <x:v>Five font-size presets and PDF-lib embedded font; all size/theme/margin combinations produce valid documents; browser control selected</x:v>
      </x:c>
      <x:c r="J111" s="13" t="str"/>
      <x:c r="K111" s="13" t="str">
        <x:v>Every size changes final document text consistently without clipping.</x:v>
      </x:c>
      <x:c r="L111" s="13" t="str">
        <x:v>21,49</x:v>
      </x:c>
      <x:c r="M111" s="13" t="str"/>
      <x:c r="N111" s="14" t="d">
        <x:v>2026-10-22T00:00:00.000Z</x:v>
      </x:c>
    </x:row>
    <x:row r="112" ht="66" customHeight="1">
      <x:c r="A112" s="15" t="str">
        <x:v>PDF-004</x:v>
      </x:c>
      <x:c r="B112" s="13" t="str">
        <x:v>Light and dark PDF themes</x:v>
      </x:c>
      <x:c r="C112" s="13" t="str">
        <x:v>Code-to-PDF</x:v>
      </x:c>
      <x:c r="D112" s="13" t="str">
        <x:v>Reference</x:v>
      </x:c>
      <x:c r="E112" s="16" t="str">
        <x:v>Implemented</x:v>
      </x:c>
      <x:c r="F112" s="13" t="str">
        <x:v>P06</x:v>
      </x:c>
      <x:c r="G112" s="13" t="str">
        <x:v>P0</x:v>
      </x:c>
      <x:c r="H112" s="13" t="str">
        <x:v>Codex / CI</x:v>
      </x:c>
      <x:c r="I112" s="13" t="str">
        <x:v>Light/dark page fills and readable text colors; 50 combination exports pass PDF parsing; browser Dark setting exercised</x:v>
      </x:c>
      <x:c r="J112" s="13" t="str"/>
      <x:c r="K112" s="13" t="str">
        <x:v>Dark and light exported PDFs preserve readable syntax and background.</x:v>
      </x:c>
      <x:c r="L112" s="13" t="str">
        <x:v>49</x:v>
      </x:c>
      <x:c r="M112" s="13" t="str"/>
      <x:c r="N112" s="14" t="d">
        <x:v>2026-10-22T00:00:00.000Z</x:v>
      </x:c>
    </x:row>
    <x:row r="113" ht="66" customHeight="1">
      <x:c r="A113" s="15" t="str">
        <x:v>PDF-005</x:v>
      </x:c>
      <x:c r="B113" s="13" t="str">
        <x:v>Five page margins</x:v>
      </x:c>
      <x:c r="C113" s="13" t="str">
        <x:v>Code-to-PDF</x:v>
      </x:c>
      <x:c r="D113" s="13" t="str">
        <x:v>Reference</x:v>
      </x:c>
      <x:c r="E113" s="16" t="str">
        <x:v>Implemented</x:v>
      </x:c>
      <x:c r="F113" s="13" t="str">
        <x:v>P06</x:v>
      </x:c>
      <x:c r="G113" s="13" t="str">
        <x:v>P0</x:v>
      </x:c>
      <x:c r="H113" s="13" t="str">
        <x:v>Codex / CI</x:v>
      </x:c>
      <x:c r="I113" s="13" t="str">
        <x:v>Five measured wrapping/margin presets; multi-page PDF parsing tests and browser Small selection pass</x:v>
      </x:c>
      <x:c r="J113" s="13" t="str"/>
      <x:c r="K113" s="13" t="str">
        <x:v>Each preset changes usable area correctly and no code is cut off.</x:v>
      </x:c>
      <x:c r="L113" s="13" t="str">
        <x:v>21,49</x:v>
      </x:c>
      <x:c r="M113" s="13" t="str"/>
      <x:c r="N113" s="14" t="d">
        <x:v>2026-10-22T00:00:00.000Z</x:v>
      </x:c>
    </x:row>
    <x:row r="114" ht="66" customHeight="1">
      <x:c r="A114" s="15" t="str">
        <x:v>PDF-007</x:v>
      </x:c>
      <x:c r="B114" s="13" t="str">
        <x:v>Browser print and Unicode-aware syntax export</x:v>
      </x:c>
      <x:c r="C114" s="13" t="str">
        <x:v>Code-to-PDF</x:v>
      </x:c>
      <x:c r="D114" s="13" t="str">
        <x:v>Reference</x:v>
      </x:c>
      <x:c r="E114" s="16" t="str">
        <x:v>Partial</x:v>
      </x:c>
      <x:c r="F114" s="13" t="str">
        <x:v>P06</x:v>
      </x:c>
      <x:c r="G114" s="13" t="str">
        <x:v>P0</x:v>
      </x:c>
      <x:c r="H114" s="13" t="str">
        <x:v>Codex owns remaining engineering; owner supplies listed external gates</x:v>
      </x:c>
      <x:c r="I114" s="13" t="str">
        <x:v>Embedded Unicode font, glyph rejection/system-font print fallback, escaped print HTML and long-line pagination tests</x:v>
      </x:c>
      <x:c r="J114" s="13" t="str">
        <x:v>Verify downloaded bytes and print output in target browsers; complete syntax-color parity and additional glyph coverage. Browser export UI succeeded, automation download-path wait timed out.</x:v>
      </x:c>
      <x:c r="K114" s="13" t="str">
        <x:v>Print-to-PDF and direct export preserve representative Unicode, long lines and pagination.</x:v>
      </x:c>
      <x:c r="L114" s="13" t="str">
        <x:v>21-22,49</x:v>
      </x:c>
      <x:c r="M114" s="13" t="str">
        <x:v>B01</x:v>
      </x:c>
      <x:c r="N114" s="14" t="d">
        <x:v>2026-10-22T00:00:00.000Z</x:v>
      </x:c>
    </x:row>
    <x:row r="115" ht="66" customHeight="1">
      <x:c r="A115" s="15" t="str">
        <x:v>RUN-005</x:v>
      </x:c>
      <x:c r="B115" s="13" t="str">
        <x:v>10,000-character runner policy and daily usage</x:v>
      </x:c>
      <x:c r="C115" s="13" t="str">
        <x:v>Execution service</x:v>
      </x:c>
      <x:c r="D115" s="13" t="str">
        <x:v>Reference</x:v>
      </x:c>
      <x:c r="E115" s="16" t="str">
        <x:v>Partial</x:v>
      </x:c>
      <x:c r="F115" s="13" t="str">
        <x:v>P06</x:v>
      </x:c>
      <x:c r="G115" s="13" t="str">
        <x:v>P0</x:v>
      </x:c>
      <x:c r="H115" s="13" t="str">
        <x:v>Codex owns remaining engineering; owner supplies listed external gates</x:v>
      </x:c>
      <x:c r="I115" s="13" t="str">
        <x:v>Server admission and shared durable three/day counter, five-language/10k character validation; race/idempotency fixtures pass</x:v>
      </x:c>
      <x:c r="J115" s="13" t="str">
        <x:v>Public anonymous execution route and end-to-end native runtime enforcement remain.</x:v>
      </x:c>
      <x:c r="K115" s="13" t="str">
        <x:v>Configured 10,000-character input and public run allowance are enforced concurrently.</x:v>
      </x:c>
      <x:c r="L115" s="13" t="str">
        <x:v>23-26; inventory</x:v>
      </x:c>
      <x:c r="M115" s="13" t="str">
        <x:v>B01/B02</x:v>
      </x:c>
      <x:c r="N115" s="14" t="d">
        <x:v>2026-10-22T00:00:00.000Z</x:v>
      </x:c>
    </x:row>
    <x:row r="116" ht="68" customHeight="1">
      <x:c r="A116" s="15" t="str">
        <x:v>RUN-006</x:v>
      </x:c>
      <x:c r="B116" s="13" t="str">
        <x:v>Separate execution worker fleet and network boundary</x:v>
      </x:c>
      <x:c r="C116" s="13" t="str">
        <x:v>Execution service</x:v>
      </x:c>
      <x:c r="D116" s="13" t="str">
        <x:v>Reference</x:v>
      </x:c>
      <x:c r="E116" s="16" t="str">
        <x:v>Blocked</x:v>
      </x:c>
      <x:c r="F116" s="13" t="str">
        <x:v>P06</x:v>
      </x:c>
      <x:c r="G116" s="13" t="str">
        <x:v>P0</x:v>
      </x:c>
      <x:c r="H116" s="13" t="str">
        <x:v>Owner supplies access/decision; Codex executes verification</x:v>
      </x:c>
      <x:c r="I116" s="13" t="str">
        <x:v>Separate runner VPC/zero-default ASG source, signed short-lived job capability, no app/provider/DB IAM; template/policy tests pass Build03 review: remaining acceptance requires the named external gate; not represented as verified.</x:v>
      </x:c>
      <x:c r="J116" s="13" t="str">
        <x:v>Bake/scan AMI, deploy private TLS gateway and prove no DB/metadata/network/cross-job access.</x:v>
      </x:c>
      <x:c r="K116" s="13" t="str">
        <x:v>Untrusted jobs cannot reach application DB, provider keys, metadata, other jobs or internet.</x:v>
      </x:c>
      <x:c r="L116" s="13" t="str">
        <x:v>Production requirement</x:v>
      </x:c>
      <x:c r="M116" s="13" t="str">
        <x:v>B01/B02</x:v>
      </x:c>
      <x:c r="N116" s="14" t="d">
        <x:v>2026-10-22T00:00:00.000Z</x:v>
      </x:c>
    </x:row>
    <x:row r="117" ht="68" customHeight="1">
      <x:c r="A117" s="15" t="str">
        <x:v>RUN-007</x:v>
      </x:c>
      <x:c r="B117" s="13" t="str">
        <x:v>CPU, memory, process, disk and output limits</x:v>
      </x:c>
      <x:c r="C117" s="13" t="str">
        <x:v>Execution service</x:v>
      </x:c>
      <x:c r="D117" s="13" t="str">
        <x:v>Reference</x:v>
      </x:c>
      <x:c r="E117" s="16" t="str">
        <x:v>Blocked</x:v>
      </x:c>
      <x:c r="F117" s="13" t="str">
        <x:v>P06</x:v>
      </x:c>
      <x:c r="G117" s="13" t="str">
        <x:v>P0</x:v>
      </x:c>
      <x:c r="H117" s="13" t="str">
        <x:v>Owner supplies access/decision; Codex executes verification</x:v>
      </x:c>
      <x:c r="I117" s="13" t="str">
        <x:v>runsc/no-network/read-only/nonroot/cap/PID/CPU/memory/tmpfs/wall/output limits; policy tests and native probe harness Build03 review: remaining acceptance requires the named external gate; not represented as verified.</x:v>
      </x:c>
      <x:c r="J117" s="13" t="str">
        <x:v>Run all five native runtimes and resource/disk/fork/network abuse probes on isolated host.</x:v>
      </x:c>
      <x:c r="K117" s="13" t="str">
        <x:v>Infinite loop, memory exhaustion, fork and output flood fixtures terminate predictably.</x:v>
      </x:c>
      <x:c r="L117" s="13" t="str">
        <x:v>23-26; production requirement</x:v>
      </x:c>
      <x:c r="M117" s="13" t="str">
        <x:v>B01/B02</x:v>
      </x:c>
      <x:c r="N117" s="14" t="d">
        <x:v>2026-10-22T00:00:00.000Z</x:v>
      </x:c>
    </x:row>
    <x:row r="118" ht="68" customHeight="1">
      <x:c r="A118" s="15" t="str">
        <x:v>RUN-008</x:v>
      </x:c>
      <x:c r="B118" s="13" t="str">
        <x:v>Execution queue, fairness and concurrency admission</x:v>
      </x:c>
      <x:c r="C118" s="13" t="str">
        <x:v>Execution service</x:v>
      </x:c>
      <x:c r="D118" s="13" t="str">
        <x:v>Reference</x:v>
      </x:c>
      <x:c r="E118" s="16" t="str">
        <x:v>Blocked</x:v>
      </x:c>
      <x:c r="F118" s="13" t="str">
        <x:v>P06</x:v>
      </x:c>
      <x:c r="G118" s="13" t="str">
        <x:v>P0</x:v>
      </x:c>
      <x:c r="H118" s="13" t="str">
        <x:v>Owner supplies access/decision; Codex executes verification</x:v>
      </x:c>
      <x:c r="I118" s="13" t="str">
        <x:v>Atomic admission rejects global pending/running backlog100 and per-workspace2 before charging daily allowance; fair leased workspace lanes remain in use. Build03 review: remaining acceptance requires the named external gate; not represented as verified.</x:v>
      </x:c>
      <x:c r="J118" s="13" t="str">
        <x:v>Measure native multi-client fairness, queue saturation/rejection and actual gateway capacity.</x:v>
      </x:c>
      <x:c r="K118" s="13" t="str">
        <x:v>Concurrent users cannot starve queue or produce duplicate charged executions.</x:v>
      </x:c>
      <x:c r="L118" s="13" t="str">
        <x:v>Production requirement</x:v>
      </x:c>
      <x:c r="M118" s="13" t="str">
        <x:v>B01/B02</x:v>
      </x:c>
      <x:c r="N118" s="14" t="d">
        <x:v>2026-10-22T00:00:00.000Z</x:v>
      </x:c>
    </x:row>
    <x:row r="119" ht="66" customHeight="1">
      <x:c r="A119" s="15" t="str">
        <x:v>RUN-010</x:v>
      </x:c>
      <x:c r="B119" s="13" t="str">
        <x:v>Sandbox lifecycle, patching and abuse response</x:v>
      </x:c>
      <x:c r="C119" s="13" t="str">
        <x:v>Execution service</x:v>
      </x:c>
      <x:c r="D119" s="13" t="str">
        <x:v>Reference</x:v>
      </x:c>
      <x:c r="E119" s="16" t="str">
        <x:v>Partial</x:v>
      </x:c>
      <x:c r="F119" s="13" t="str">
        <x:v>P06</x:v>
      </x:c>
      <x:c r="G119" s="13" t="str">
        <x:v>P0</x:v>
      </x:c>
      <x:c r="H119" s="13" t="str">
        <x:v>Codex owns remaining engineering; owner supplies listed external gates</x:v>
      </x:c>
      <x:c r="I119" s="13" t="str">
        <x:v>Disposable container/work dirs, digest pinning, cleanup, zero-default fleet, drain/rebuild incident runbook</x:v>
      </x:c>
      <x:c r="J119" s="13" t="str">
        <x:v>Rehearse residue/patch/drain/key-rotation and host failure on real fleet.</x:v>
      </x:c>
      <x:c r="K119" s="13" t="str">
        <x:v>No cross-job residue remains; compromised/overloaded fleet can be drained without affecting normal web service.</x:v>
      </x:c>
      <x:c r="L119" s="13" t="str">
        <x:v>Production requirement</x:v>
      </x:c>
      <x:c r="M119" s="13" t="str">
        <x:v>B01/B02</x:v>
      </x:c>
      <x:c r="N119" s="14" t="d">
        <x:v>2026-10-22T00:00:00.000Z</x:v>
      </x:c>
    </x:row>
    <x:row r="120" ht="68" customHeight="1">
      <x:c r="A120" s="15" t="str">
        <x:v>BIL-002</x:v>
      </x:c>
      <x:c r="B120" s="13" t="str">
        <x:v>Secure hosted checkout</x:v>
      </x:c>
      <x:c r="C120" s="13" t="str">
        <x:v>Billing and subscriptions</x:v>
      </x:c>
      <x:c r="D120" s="13" t="str">
        <x:v>Reference</x:v>
      </x:c>
      <x:c r="E120" s="16" t="str">
        <x:v>Blocked</x:v>
      </x:c>
      <x:c r="F120" s="13" t="str">
        <x:v>P07</x:v>
      </x:c>
      <x:c r="G120" s="13" t="str">
        <x:v>P0</x:v>
      </x:c>
      <x:c r="H120" s="13" t="str">
        <x:v>Owner supplies access/decision; Codex executes verification</x:v>
      </x:c>
      <x:c r="I120" s="13" t="str">
        <x:v>Paddle server-price verification, bound checkout intents, uncertain-request fence, hosted checkout UI; contract tests pass Build03 review: remaining acceptance requires the named external gate; not represented as verified.</x:v>
      </x:c>
      <x:c r="J120" s="13" t="str">
        <x:v>Merchant sandbox checkout, default checkout integration/domain and verified-country restrictions remain.</x:v>
      </x:c>
      <x:c r="K120" s="13" t="str">
        <x:v>Client cannot alter amount/tier; checkout completion alone does not grant access.</x:v>
      </x:c>
      <x:c r="L120" s="13" t="str">
        <x:v>27-30</x:v>
      </x:c>
      <x:c r="M120" s="13" t="str">
        <x:v>B04</x:v>
      </x:c>
      <x:c r="N120" s="14" t="d">
        <x:v>2026-10-22T00:00:00.000Z</x:v>
      </x:c>
    </x:row>
    <x:row r="121" ht="68" customHeight="1">
      <x:c r="A121" s="15" t="str">
        <x:v>BIL-003</x:v>
      </x:c>
      <x:c r="B121" s="13" t="str">
        <x:v>Signed, idempotent payment webhooks</x:v>
      </x:c>
      <x:c r="C121" s="13" t="str">
        <x:v>Billing and subscriptions</x:v>
      </x:c>
      <x:c r="D121" s="13" t="str">
        <x:v>Reference</x:v>
      </x:c>
      <x:c r="E121" s="16" t="str">
        <x:v>Blocked</x:v>
      </x:c>
      <x:c r="F121" s="13" t="str">
        <x:v>P07</x:v>
      </x:c>
      <x:c r="G121" s="13" t="str">
        <x:v>P0</x:v>
      </x:c>
      <x:c r="H121" s="13" t="str">
        <x:v>Owner supplies access/decision; Codex executes verification</x:v>
      </x:c>
      <x:c r="I121" s="13" t="str">
        <x:v>Raw-body Paddle timestamp/HMAC verification, serialized inbox and allowance replay/order fixtures pass Build03 review: remaining acceptance requires the named external gate; not represented as verified.</x:v>
      </x:c>
      <x:c r="J121" s="13" t="str">
        <x:v>Verify actual sandbox event delivery/retries/key rotation and provider reconciliation.</x:v>
      </x:c>
      <x:c r="K121" s="13" t="str">
        <x:v>Duplicate, invalid and out-of-order events cannot create duplicate entitlements or credits.</x:v>
      </x:c>
      <x:c r="L121" s="13" t="str">
        <x:v>Production requirement</x:v>
      </x:c>
      <x:c r="M121" s="13" t="str">
        <x:v>B04</x:v>
      </x:c>
      <x:c r="N121" s="14" t="d">
        <x:v>2026-10-22T00:00:00.000Z</x:v>
      </x:c>
    </x:row>
    <x:row r="122" ht="66" customHeight="1">
      <x:c r="A122" s="15" t="str">
        <x:v>BIL-004</x:v>
      </x:c>
      <x:c r="B122" s="13" t="str">
        <x:v>Subscription state and entitlement synchronization</x:v>
      </x:c>
      <x:c r="C122" s="13" t="str">
        <x:v>Billing and subscriptions</x:v>
      </x:c>
      <x:c r="D122" s="13" t="str">
        <x:v>Reference</x:v>
      </x:c>
      <x:c r="E122" s="16" t="str">
        <x:v>Partial</x:v>
      </x:c>
      <x:c r="F122" s="13" t="str">
        <x:v>P07</x:v>
      </x:c>
      <x:c r="G122" s="13" t="str">
        <x:v>P0</x:v>
      </x:c>
      <x:c r="H122" s="13" t="str">
        <x:v>Codex owns remaining engineering; owner supplies listed external gates</x:v>
      </x:c>
      <x:c r="I122" s="13" t="str">
        <x:v>Bound paid transactions grant periods; checkout/active update alone cannot mint; cancel/past-due mapping and browser billing view</x:v>
      </x:c>
      <x:c r="J122" s="13" t="str">
        <x:v>Complete all provider states/grace and actual paid lifecycle browser acceptance.</x:v>
      </x:c>
      <x:c r="K122" s="13" t="str">
        <x:v>Only valid paid state grants paid entitlements; grace behavior is explicit and tested.</x:v>
      </x:c>
      <x:c r="L122" s="13" t="str">
        <x:v>27-30; V1</x:v>
      </x:c>
      <x:c r="M122" s="13" t="str">
        <x:v>B04/B08</x:v>
      </x:c>
      <x:c r="N122" s="14" t="d">
        <x:v>2026-10-22T00:00:00.000Z</x:v>
      </x:c>
    </x:row>
    <x:row r="123" ht="66" customHeight="1">
      <x:c r="A123" s="15" t="str">
        <x:v>BIL-005</x:v>
      </x:c>
      <x:c r="B123" s="13" t="str">
        <x:v>Renewal allowances and Advanced monthly usage</x:v>
      </x:c>
      <x:c r="C123" s="13" t="str">
        <x:v>Billing and subscriptions</x:v>
      </x:c>
      <x:c r="D123" s="13" t="str">
        <x:v>Reference</x:v>
      </x:c>
      <x:c r="E123" s="16" t="str">
        <x:v>Partial</x:v>
      </x:c>
      <x:c r="F123" s="13" t="str">
        <x:v>P07</x:v>
      </x:c>
      <x:c r="G123" s="13" t="str">
        <x:v>P0</x:v>
      </x:c>
      <x:c r="H123" s="13" t="str">
        <x:v>Codex owns remaining engineering; owner supplies listed external gates</x:v>
      </x:c>
      <x:c r="I123" s="13" t="str">
        <x:v>credit-period.ts anchors monthly credits within annual paid periods, preserving Jan31/Feb29/Mar31 UTC boundaries. Current month grants are unique; expired months do not roll into availability.</x:v>
      </x:c>
      <x:c r="J123" s="13" t="str">
        <x:v>Validate live merchant annual renewal, plan-change/proration and grace-policy scenarios before paid release.</x:v>
      </x:c>
      <x:c r="K123" s="13" t="str">
        <x:v>Renewal grants exactly one configured allowance despite webhook replay or delayed events.</x:v>
      </x:c>
      <x:c r="L123" s="13" t="str">
        <x:v>28,30; advertised</x:v>
      </x:c>
      <x:c r="M123" s="13" t="str">
        <x:v>B04/B08</x:v>
      </x:c>
      <x:c r="N123" s="14" t="d">
        <x:v>2026-10-22T00:00:00.000Z</x:v>
      </x:c>
    </x:row>
    <x:row r="124" ht="66" customHeight="1">
      <x:c r="A124" s="15" t="str">
        <x:v>BIL-006</x:v>
      </x:c>
      <x:c r="B124" s="13" t="str">
        <x:v>Upgrade, downgrade and proration policy</x:v>
      </x:c>
      <x:c r="C124" s="13" t="str">
        <x:v>Billing and subscriptions</x:v>
      </x:c>
      <x:c r="D124" s="13" t="str">
        <x:v>Reference</x:v>
      </x:c>
      <x:c r="E124" s="16" t="str">
        <x:v>Blocked</x:v>
      </x:c>
      <x:c r="F124" s="13" t="str">
        <x:v>P07</x:v>
      </x:c>
      <x:c r="G124" s="13" t="str">
        <x:v>P0</x:v>
      </x:c>
      <x:c r="H124" s="13" t="str">
        <x:v>Owner decision/access; Codex after unblock</x:v>
      </x:c>
      <x:c r="I124" s="13" t="str">
        <x:v>ops/POLICY_DECISIONS.json identifies proration/amount-preview prerequisites and keeps changes disabled</x:v>
      </x:c>
      <x:c r="J124" s="13" t="str">
        <x:v>Owner must approve upgrade/downgrade/proration rules; then implement provider preview/confirmation and sandbox settlement.</x:v>
      </x:c>
      <x:c r="K124" s="13" t="str">
        <x:v>Every change shows amount/timing before confirmation and matches settled provider state.</x:v>
      </x:c>
      <x:c r="L124" s="13" t="str">
        <x:v>28,30,33; advertised</x:v>
      </x:c>
      <x:c r="M124" s="13" t="str">
        <x:v>B04/B08</x:v>
      </x:c>
      <x:c r="N124" s="14" t="d">
        <x:v>2026-10-22T00:00:00.000Z</x:v>
      </x:c>
    </x:row>
    <x:row r="125" ht="66" customHeight="1">
      <x:c r="A125" s="15" t="str">
        <x:v>BIL-007</x:v>
      </x:c>
      <x:c r="B125" s="13" t="str">
        <x:v>Cancel, resume and self-service billing portal</x:v>
      </x:c>
      <x:c r="C125" s="13" t="str">
        <x:v>Billing and subscriptions</x:v>
      </x:c>
      <x:c r="D125" s="13" t="str">
        <x:v>Reference</x:v>
      </x:c>
      <x:c r="E125" s="16" t="str">
        <x:v>Blocked</x:v>
      </x:c>
      <x:c r="F125" s="13" t="str">
        <x:v>P07</x:v>
      </x:c>
      <x:c r="G125" s="13" t="str">
        <x:v>P0</x:v>
      </x:c>
      <x:c r="H125" s="13" t="str">
        <x:v>Owner supplies access/decision; Codex executes verification</x:v>
      </x:c>
      <x:c r="I125" s="13" t="str">
        <x:v>Owned short-lived hosted customer portal route and browser link; provider customer binding Build03 review: remaining acceptance requires the named external gate; not represented as verified.</x:v>
      </x:c>
      <x:c r="J125" s="13" t="str">
        <x:v>Verify cancel/resume/invoice/access-end behavior and approved cancellation policy in sandbox.</x:v>
      </x:c>
      <x:c r="K125" s="13" t="str">
        <x:v>Owner can cancel/resume supported subscription states and see access end date.</x:v>
      </x:c>
      <x:c r="L125" s="13" t="str">
        <x:v>28,30,33; V1</x:v>
      </x:c>
      <x:c r="M125" s="13" t="str">
        <x:v>B04</x:v>
      </x:c>
      <x:c r="N125" s="14" t="d">
        <x:v>2026-10-22T00:00:00.000Z</x:v>
      </x:c>
    </x:row>
    <x:row r="126" ht="66" customHeight="1">
      <x:c r="A126" s="15" t="str">
        <x:v>BIL-008</x:v>
      </x:c>
      <x:c r="B126" s="13" t="str">
        <x:v>Invoices, currencies, tax and country eligibility</x:v>
      </x:c>
      <x:c r="C126" s="13" t="str">
        <x:v>Billing and subscriptions</x:v>
      </x:c>
      <x:c r="D126" s="13" t="str">
        <x:v>Reference</x:v>
      </x:c>
      <x:c r="E126" s="16" t="str">
        <x:v>Partial</x:v>
      </x:c>
      <x:c r="F126" s="13" t="str">
        <x:v>P07</x:v>
      </x:c>
      <x:c r="G126" s="13" t="str">
        <x:v>P0</x:v>
      </x:c>
      <x:c r="H126" s="13" t="str">
        <x:v>Codex owns remaining engineering; owner supplies listed external gates</x:v>
      </x:c>
      <x:c r="I126" s="13" t="str">
        <x:v>Shared proposed USD cents catalog, server live-price check and country allowlist; wrong price/country fixtures pass</x:v>
      </x:c>
      <x:c r="J126" s="13" t="str">
        <x:v>Provider-verified billing country, actual tax/invoices and supported-market eligibility remain; multi-currency is not implemented.</x:v>
      </x:c>
      <x:c r="K126" s="13" t="str">
        <x:v>Supported-country checkout uses correct price/currency; unsupported countries receive a clear message.</x:v>
      </x:c>
      <x:c r="L126" s="13" t="str">
        <x:v>27-30</x:v>
      </x:c>
      <x:c r="M126" s="13" t="str">
        <x:v>B04/B08</x:v>
      </x:c>
      <x:c r="N126" s="14" t="d">
        <x:v>2026-10-22T00:00:00.000Z</x:v>
      </x:c>
    </x:row>
    <x:row r="127" ht="66" customHeight="1">
      <x:c r="A127" s="15" t="str">
        <x:v>BIL-009</x:v>
      </x:c>
      <x:c r="B127" s="13" t="str">
        <x:v>Refund policy and refund processing</x:v>
      </x:c>
      <x:c r="C127" s="13" t="str">
        <x:v>Billing and subscriptions</x:v>
      </x:c>
      <x:c r="D127" s="13" t="str">
        <x:v>Reference</x:v>
      </x:c>
      <x:c r="E127" s="16" t="str">
        <x:v>Blocked</x:v>
      </x:c>
      <x:c r="F127" s="13" t="str">
        <x:v>P07</x:v>
      </x:c>
      <x:c r="G127" s="13" t="str">
        <x:v>P0</x:v>
      </x:c>
      <x:c r="H127" s="13" t="str">
        <x:v>Owner decision/access; Codex after unblock</x:v>
      </x:c>
      <x:c r="I127" s="13" t="str">
        <x:v>Refund adjustment recording preserves accounting history; policy decision record explicitly disables automatic refunds</x:v>
      </x:c>
      <x:c r="J127" s="13" t="str">
        <x:v>Owner must approve refund eligibility and allowance treatment; implement refund requests/reconciliation and authorized sandbox/live rehearsal.</x:v>
      </x:c>
      <x:c r="K127" s="13" t="str">
        <x:v>Eligible test refund reconciles payment, entitlement and audit history without duplicate refunds.</x:v>
      </x:c>
      <x:c r="L127" s="13" t="str">
        <x:v>27-30</x:v>
      </x:c>
      <x:c r="M127" s="13" t="str">
        <x:v>B04/B08</x:v>
      </x:c>
      <x:c r="N127" s="14" t="d">
        <x:v>2026-10-22T00:00:00.000Z</x:v>
      </x:c>
    </x:row>
    <x:row r="128" ht="66" customHeight="1">
      <x:c r="A128" s="15" t="str">
        <x:v>BIL-010</x:v>
      </x:c>
      <x:c r="B128" s="13" t="str">
        <x:v>Payment failures, retries and reconciliation</x:v>
      </x:c>
      <x:c r="C128" s="13" t="str">
        <x:v>Billing and subscriptions</x:v>
      </x:c>
      <x:c r="D128" s="13" t="str">
        <x:v>Reference</x:v>
      </x:c>
      <x:c r="E128" s="16" t="str">
        <x:v>Partial</x:v>
      </x:c>
      <x:c r="F128" s="13" t="str">
        <x:v>P07</x:v>
      </x:c>
      <x:c r="G128" s="13" t="str">
        <x:v>P0</x:v>
      </x:c>
      <x:c r="H128" s="13" t="str">
        <x:v>Codex owns remaining engineering; owner supplies listed external gates</x:v>
      </x:c>
      <x:c r="I128" s="13" t="str">
        <x:v>Uncertain checkout fence, past-due subscription mapping, read-only financial exception queries and incident runbook</x:v>
      </x:c>
      <x:c r="J128" s="13" t="str">
        <x:v>Provider payment-failure/retry reconciliation API and automated mismatch recovery remain.</x:v>
      </x:c>
      <x:c r="K128" s="13" t="str">
        <x:v>No access is granted for failed checkout; mismatched paid state is detected and recoverable.</x:v>
      </x:c>
      <x:c r="L128" s="13" t="str">
        <x:v>33; production requirement</x:v>
      </x:c>
      <x:c r="M128" s="13" t="str">
        <x:v>B04</x:v>
      </x:c>
      <x:c r="N128" s="14" t="d">
        <x:v>2026-10-22T00:00:00.000Z</x:v>
      </x:c>
    </x:row>
    <x:row r="129" ht="66" customHeight="1">
      <x:c r="A129" s="15" t="str">
        <x:v>BIL-012</x:v>
      </x:c>
      <x:c r="B129" s="13" t="str">
        <x:v>Chargebacks, fraud and administrative corrections</x:v>
      </x:c>
      <x:c r="C129" s="13" t="str">
        <x:v>Billing and subscriptions</x:v>
      </x:c>
      <x:c r="D129" s="13" t="str">
        <x:v>Reference</x:v>
      </x:c>
      <x:c r="E129" s="16" t="str">
        <x:v>Partial</x:v>
      </x:c>
      <x:c r="F129" s="13" t="str">
        <x:v>P07</x:v>
      </x:c>
      <x:c r="G129" s="13" t="str">
        <x:v>P0</x:v>
      </x:c>
      <x:c r="H129" s="13" t="str">
        <x:v>Codex owns remaining engineering; owner supplies listed external gates</x:v>
      </x:c>
      <x:c r="I129" s="13" t="str">
        <x:v>Signed chargeback/refund/credit adjustment inbox, audit and no ledger deletion; chargeback suspends entitlement</x:v>
      </x:c>
      <x:c r="J129" s="13" t="str">
        <x:v>Complete provider dispute/correction lifecycle, role-limited correction UI and merchant tests.</x:v>
      </x:c>
      <x:c r="K129" s="13" t="str">
        <x:v>Dispute/correction cannot erase ledger history and does not silently mint credits.</x:v>
      </x:c>
      <x:c r="L129" s="13" t="str">
        <x:v>Production requirement</x:v>
      </x:c>
      <x:c r="M129" s="13" t="str">
        <x:v>B04/B08</x:v>
      </x:c>
      <x:c r="N129" s="14" t="d">
        <x:v>2026-10-22T00:00:00.000Z</x:v>
      </x:c>
    </x:row>
    <x:row r="130" ht="66" customHeight="1">
      <x:c r="A130" s="15" t="str">
        <x:v>QTA-001</x:v>
      </x:c>
      <x:c r="B130" s="13" t="str">
        <x:v>Anonymous daily tool and execution allowances</x:v>
      </x:c>
      <x:c r="C130" s="13" t="str">
        <x:v>Quotas and AI cost control</x:v>
      </x:c>
      <x:c r="D130" s="13" t="str">
        <x:v>Production</x:v>
      </x:c>
      <x:c r="E130" s="16" t="str">
        <x:v>Partial</x:v>
      </x:c>
      <x:c r="F130" s="13" t="str">
        <x:v>P07</x:v>
      </x:c>
      <x:c r="G130" s="13" t="str">
        <x:v>P0</x:v>
      </x:c>
      <x:c r="H130" s="13" t="str">
        <x:v>Codex owns remaining engineering; owner supplies listed external gates</x:v>
      </x:c>
      <x:c r="I130" s="13" t="str">
        <x:v>Durable HMAC subject/day two-AI/three-execution reservation service and concurrency tests</x:v>
      </x:c>
      <x:c r="J130" s="13" t="str">
        <x:v>Connect both public anonymous dispatch routes with human/abuse protection and recovery; currently execution API requires account.</x:v>
      </x:c>
      <x:c r="K130" s="13" t="str">
        <x:v>Configured two AI uses/day and three executions/day are enforced before provider/runner dispatch.</x:v>
      </x:c>
      <x:c r="L130" s="13" t="str">
        <x:v>Inventory observed public limits</x:v>
      </x:c>
      <x:c r="M130" s="13" t="str">
        <x:v>B01/B03</x:v>
      </x:c>
      <x:c r="N130" s="14" t="d">
        <x:v>2026-10-22T00:00:00.000Z</x:v>
      </x:c>
    </x:row>
    <x:row r="131" ht="66" customHeight="1">
      <x:c r="A131" s="15" t="str">
        <x:v>QTA-006</x:v>
      </x:c>
      <x:c r="B131" s="13" t="str">
        <x:v>Provider/model spending ceiling and emergency stop</x:v>
      </x:c>
      <x:c r="C131" s="13" t="str">
        <x:v>Quotas and AI cost control</x:v>
      </x:c>
      <x:c r="D131" s="13" t="str">
        <x:v>Production</x:v>
      </x:c>
      <x:c r="E131" s="16" t="str">
        <x:v>Partial</x:v>
      </x:c>
      <x:c r="F131" s="13" t="str">
        <x:v>P07</x:v>
      </x:c>
      <x:c r="G131" s="13" t="str">
        <x:v>P0</x:v>
      </x:c>
      <x:c r="H131" s="13" t="str">
        <x:v>Codex owns remaining engineering; owner supplies listed external gates</x:v>
      </x:c>
      <x:c r="I131" s="13" t="str">
        <x:v>Atomic day spend holds, conservative bounded provider estimates, MFA kill switch and ceiling/finalize/replay tests</x:v>
      </x:c>
      <x:c r="J131" s="13" t="str">
        <x:v>Reconcile estimates to real model pricing/invoices and verify emergency stop across deployed workers.</x:v>
      </x:c>
      <x:c r="K131" s="13" t="str">
        <x:v>Exceeding configured budget rejects new paid-provider dispatch while local tools remain available.</x:v>
      </x:c>
      <x:c r="L131" s="13" t="str">
        <x:v>Production requirement</x:v>
      </x:c>
      <x:c r="M131" s="13" t="str">
        <x:v>B02/B03</x:v>
      </x:c>
      <x:c r="N131" s="14" t="d">
        <x:v>2026-10-22T00:00:00.000Z</x:v>
      </x:c>
    </x:row>
    <x:row r="132" ht="66" customHeight="1">
      <x:c r="A132" s="15" t="str">
        <x:v>QTA-007</x:v>
      </x:c>
      <x:c r="B132" s="13" t="str">
        <x:v>Economically viable Standard fair-use policy</x:v>
      </x:c>
      <x:c r="C132" s="13" t="str">
        <x:v>Quotas and AI cost control</x:v>
      </x:c>
      <x:c r="D132" s="13" t="str">
        <x:v>Production</x:v>
      </x:c>
      <x:c r="E132" s="16" t="str">
        <x:v>Blocked</x:v>
      </x:c>
      <x:c r="F132" s="13" t="str">
        <x:v>P07</x:v>
      </x:c>
      <x:c r="G132" s="13" t="str">
        <x:v>P0</x:v>
      </x:c>
      <x:c r="H132" s="13" t="str">
        <x:v>Owner decision/access; Codex after unblock</x:v>
      </x:c>
      <x:c r="I132" s="13" t="str">
        <x:v>No unlimited usage claim; bounded output/global ceiling; ops/POLICY_DECISIONS.json leaves per-user paid fair-use open</x:v>
      </x:c>
      <x:c r="J132" s="13" t="str">
        <x:v>Owner must approve economical per-user Standard policy and prices; implement final per-user controls and high-usage cost scenario.</x:v>
      </x:c>
      <x:c r="K132" s="13" t="str">
        <x:v>Published usage language and server controls agree; a high-usage scenario cannot create uncontrolled loss.</x:v>
      </x:c>
      <x:c r="L132" s="13" t="str">
        <x:v>28,30; reference pricing</x:v>
      </x:c>
      <x:c r="M132" s="13" t="str">
        <x:v>B03/B08</x:v>
      </x:c>
      <x:c r="N132" s="14" t="d">
        <x:v>2026-10-22T00:00:00.000Z</x:v>
      </x:c>
    </x:row>
    <x:row r="133" ht="66" customHeight="1">
      <x:c r="A133" s="15" t="str">
        <x:v>WEB-008</x:v>
      </x:c>
      <x:c r="B133" s="13" t="str">
        <x:v>Detailed plan comparison table</x:v>
      </x:c>
      <x:c r="C133" s="13" t="str">
        <x:v>Public website and discovery</x:v>
      </x:c>
      <x:c r="D133" s="13" t="str">
        <x:v>Reference</x:v>
      </x:c>
      <x:c r="E133" s="16" t="str">
        <x:v>Partial</x:v>
      </x:c>
      <x:c r="F133" s="13" t="str">
        <x:v>P08</x:v>
      </x:c>
      <x:c r="G133" s="13" t="str">
        <x:v>P0</x:v>
      </x:c>
      <x:c r="H133" s="13" t="str">
        <x:v>Codex owns remaining engineering; owner supplies listed external gates</x:v>
      </x:c>
      <x:c r="I133" s="13" t="str">
        <x:v>Cards and detailed comparison use shared planCatalog USD cents; browser comparison fixture passes</x:v>
      </x:c>
      <x:c r="J133" s="13" t="str">
        <x:v>Merchant prices must be approved; file capacity and annual/monthly allowance behavior must match every published comparison cell.</x:v>
      </x:c>
      <x:c r="K133" s="13" t="str">
        <x:v>All cards, comparison cells and checkout price identifiers agree with the active catalog.</x:v>
      </x:c>
      <x:c r="L133" s="13" t="str">
        <x:v>28,30</x:v>
      </x:c>
      <x:c r="M133" s="13" t="str">
        <x:v>B04/B08</x:v>
      </x:c>
      <x:c r="N133" s="14" t="d">
        <x:v>2026-10-22T00:00:00.000Z</x:v>
      </x:c>
    </x:row>
    <x:row r="134" ht="66" customHeight="1">
      <x:c r="A134" s="15" t="str">
        <x:v>WEB-011</x:v>
      </x:c>
      <x:c r="B134" s="13" t="str">
        <x:v>Dedicated Code Privacy page</x:v>
      </x:c>
      <x:c r="C134" s="13" t="str">
        <x:v>Public website and discovery</x:v>
      </x:c>
      <x:c r="D134" s="13" t="str">
        <x:v>Reference</x:v>
      </x:c>
      <x:c r="E134" s="16" t="str">
        <x:v>Implemented</x:v>
      </x:c>
      <x:c r="F134" s="13" t="str">
        <x:v>P08</x:v>
      </x:c>
      <x:c r="G134" s="13" t="str">
        <x:v>P0</x:v>
      </x:c>
      <x:c r="H134" s="13" t="str">
        <x:v>Codex / CI</x:v>
      </x:c>
      <x:c r="I134" s="13" t="str">
        <x:v>Dedicated /code-privacy with actual preview/account/provider/consent/share/provisional retention and deletion flows</x:v>
      </x:c>
      <x:c r="J134" s="13" t="str"/>
      <x:c r="K134" s="13" t="str">
        <x:v>/code-privacy exists and reflects configured data flows and provider contracts.</x:v>
      </x:c>
      <x:c r="L134" s="13" t="str">
        <x:v>36-37</x:v>
      </x:c>
      <x:c r="M134" s="13" t="str"/>
      <x:c r="N134" s="14" t="d">
        <x:v>2026-10-22T00:00:00.000Z</x:v>
      </x:c>
    </x:row>
    <x:row r="135" ht="66" customHeight="1">
      <x:c r="A135" s="15" t="str">
        <x:v>WEB-014</x:v>
      </x:c>
      <x:c r="B135" s="13" t="str">
        <x:v>Dedicated language-pair converter routes</x:v>
      </x:c>
      <x:c r="C135" s="13" t="str">
        <x:v>Public website and discovery</x:v>
      </x:c>
      <x:c r="D135" s="13" t="str">
        <x:v>Reference</x:v>
      </x:c>
      <x:c r="E135" s="16" t="str">
        <x:v>Implemented</x:v>
      </x:c>
      <x:c r="F135" s="13" t="str">
        <x:v>P08</x:v>
      </x:c>
      <x:c r="G135" s="13" t="str">
        <x:v>P0</x:v>
      </x:c>
      <x:c r="H135" s="13" t="str">
        <x:v>Codex / CI</x:v>
      </x:c>
      <x:c r="I135" s="13" t="str">
        <x:v>68 observed pair slugs, valid language aliases, dedicated Next routes and standalone prerender metadata; all resolve in test</x:v>
      </x:c>
      <x:c r="J135" s="13" t="str"/>
      <x:c r="K135" s="13" t="str">
        <x:v>The 68 observed pair links resolve; Python-to-JavaScript matches the captured template.</x:v>
      </x:c>
      <x:c r="L135" s="13" t="str">
        <x:v>44-45; discovered-links.csv</x:v>
      </x:c>
      <x:c r="M135" s="13" t="str"/>
      <x:c r="N135" s="14" t="d">
        <x:v>2026-10-22T00:00:00.000Z</x:v>
      </x:c>
    </x:row>
    <x:row r="136" ht="66" customHeight="1">
      <x:c r="A136" s="15" t="str">
        <x:v>AWS-001</x:v>
      </x:c>
      <x:c r="B136" s="13" t="str">
        <x:v>Separate staging and production infrastructure as code</x:v>
      </x:c>
      <x:c r="C136" s="13" t="str">
        <x:v>AWS platform and delivery</x:v>
      </x:c>
      <x:c r="D136" s="13" t="str">
        <x:v>Production</x:v>
      </x:c>
      <x:c r="E136" s="16" t="str">
        <x:v>Partial</x:v>
      </x:c>
      <x:c r="F136" s="13" t="str">
        <x:v>P09</x:v>
      </x:c>
      <x:c r="G136" s="13" t="str">
        <x:v>P0</x:v>
      </x:c>
      <x:c r="H136" s="13" t="str">
        <x:v>Codex owns remaining engineering; owner supplies listed external gates</x:v>
      </x:c>
      <x:c r="I136" s="13" t="str">
        <x:v>infra/src/stacks.ts; runner-stack.ts; Application/Edge/Runner CDK stacks synthesize independently for staging/production; six offline templates</x:v>
      </x:c>
      <x:c r="J136" s="13" t="str">
        <x:v>Owner-reviewed change sets, bootstrap/apply/drift/destroy protection and actual environment verification.</x:v>
      </x:c>
      <x:c r="K136" s="13" t="str">
        <x:v>Staging and production can be independently planned/applied/destroyed within approved limits.</x:v>
      </x:c>
      <x:c r="L136" s="13" t="str">
        <x:v>Production requirement</x:v>
      </x:c>
      <x:c r="M136" s="13" t="str">
        <x:v>B02/B05</x:v>
      </x:c>
      <x:c r="N136" s="14" t="d">
        <x:v>2026-10-22T00:00:00.000Z</x:v>
      </x:c>
    </x:row>
    <x:row r="137" ht="68" customHeight="1">
      <x:c r="A137" s="15" t="str">
        <x:v>AWS-002</x:v>
      </x:c>
      <x:c r="B137" s="13" t="str">
        <x:v>Portable web/API Dockerfiles and local compose</x:v>
      </x:c>
      <x:c r="C137" s="13" t="str">
        <x:v>AWS platform and delivery</x:v>
      </x:c>
      <x:c r="D137" s="13" t="str">
        <x:v>Production</x:v>
      </x:c>
      <x:c r="E137" s="16" t="str">
        <x:v>Blocked</x:v>
      </x:c>
      <x:c r="F137" s="13" t="str">
        <x:v>P09</x:v>
      </x:c>
      <x:c r="G137" s="13" t="str">
        <x:v>P0</x:v>
      </x:c>
      <x:c r="H137" s="13" t="str">
        <x:v>Owner supplies access/decision; Codex executes verification</x:v>
      </x:c>
      <x:c r="I137" s="13" t="str">
        <x:v>infra/src/stacks.ts; runner-stack.ts; Locked pnpm API/web Dockerfiles, compose and standalone web build; container CI definitions Build03 review: remaining acceptance requires the named external gate; not represented as verified.</x:v>
      </x:c>
      <x:c r="J137" s="13" t="str">
        <x:v>Build images and run compose/migration/container smoke on Docker host.</x:v>
      </x:c>
      <x:c r="K137" s="13" t="str">
        <x:v>Images build from lockfiles and compose supports migrations and integration tests.</x:v>
      </x:c>
      <x:c r="L137" s="13" t="str">
        <x:v>Production requirement</x:v>
      </x:c>
      <x:c r="M137" s="13" t="str">
        <x:v>B01</x:v>
      </x:c>
      <x:c r="N137" s="14" t="d">
        <x:v>2026-10-22T00:00:00.000Z</x:v>
      </x:c>
    </x:row>
    <x:row r="138" ht="68" customHeight="1">
      <x:c r="A138" s="15" t="str">
        <x:v>AWS-003</x:v>
      </x:c>
      <x:c r="B138" s="13" t="str">
        <x:v>ECR image registry and artifact provenance</x:v>
      </x:c>
      <x:c r="C138" s="13" t="str">
        <x:v>AWS platform and delivery</x:v>
      </x:c>
      <x:c r="D138" s="13" t="str">
        <x:v>Production</x:v>
      </x:c>
      <x:c r="E138" s="16" t="str">
        <x:v>Blocked</x:v>
      </x:c>
      <x:c r="F138" s="13" t="str">
        <x:v>P09</x:v>
      </x:c>
      <x:c r="G138" s="13" t="str">
        <x:v>P0</x:v>
      </x:c>
      <x:c r="H138" s="13" t="str">
        <x:v>Owner supplies access/decision; Codex executes verification</x:v>
      </x:c>
      <x:c r="I138" s="13" t="str">
        <x:v>infra/src/stacks.ts; runner-stack.ts; Immutable/scanned ECR source, exact digest services, buildx SBOM/provenance publication helper Build03 review: remaining acceptance requires the named external gate; not represented as verified.</x:v>
      </x:c>
      <x:c r="J138" s="13" t="str">
        <x:v>Bootstrap repositories; build/push/scan/verify real image attestations and review findings.</x:v>
      </x:c>
      <x:c r="K138" s="13" t="str">
        <x:v>A release refers to exact digests rather than mutable latest tags.</x:v>
      </x:c>
      <x:c r="L138" s="13" t="str">
        <x:v>Production requirement</x:v>
      </x:c>
      <x:c r="M138" s="13" t="str">
        <x:v>B01/B02/B09</x:v>
      </x:c>
      <x:c r="N138" s="14" t="d">
        <x:v>2026-10-22T00:00:00.000Z</x:v>
      </x:c>
    </x:row>
    <x:row r="139" ht="68" customHeight="1">
      <x:c r="A139" s="15" t="str">
        <x:v>AWS-004</x:v>
      </x:c>
      <x:c r="B139" s="13" t="str">
        <x:v>VPC, private service/database subnets and egress</x:v>
      </x:c>
      <x:c r="C139" s="13" t="str">
        <x:v>AWS platform and delivery</x:v>
      </x:c>
      <x:c r="D139" s="13" t="str">
        <x:v>Production</x:v>
      </x:c>
      <x:c r="E139" s="16" t="str">
        <x:v>Blocked</x:v>
      </x:c>
      <x:c r="F139" s="13" t="str">
        <x:v>P09</x:v>
      </x:c>
      <x:c r="G139" s="13" t="str">
        <x:v>P0</x:v>
      </x:c>
      <x:c r="H139" s="13" t="str">
        <x:v>Owner supplies access/decision; Codex executes verification</x:v>
      </x:c>
      <x:c r="I139" s="13" t="str">
        <x:v>infra/src/stacks.ts; runner-stack.ts; Private app/isolated DB subnets; separate runner VPC/no NAT; network template assertions pass Build03 review: remaining acceptance requires the named external gate; not represented as verified.</x:v>
      </x:c>
      <x:c r="J139" s="13" t="str">
        <x:v>Apply/test egress, service rules, peering, managed origin SG and no DB route from runner.</x:v>
      </x:c>
      <x:c r="K139" s="13" t="str">
        <x:v>Only intended edge/service traffic reaches app/DB; runner subnet has separate restrictions.</x:v>
      </x:c>
      <x:c r="L139" s="13" t="str">
        <x:v>Production requirement</x:v>
      </x:c>
      <x:c r="M139" s="13" t="str">
        <x:v>B02</x:v>
      </x:c>
      <x:c r="N139" s="14" t="d">
        <x:v>2026-10-22T00:00:00.000Z</x:v>
      </x:c>
    </x:row>
    <x:row r="140" ht="66" customHeight="1">
      <x:c r="A140" s="15" t="str">
        <x:v>AWS-005</x:v>
      </x:c>
      <x:c r="B140" s="13" t="str">
        <x:v>ECS Fargate web/API services and ALB health</x:v>
      </x:c>
      <x:c r="C140" s="13" t="str">
        <x:v>AWS platform and delivery</x:v>
      </x:c>
      <x:c r="D140" s="13" t="str">
        <x:v>Production</x:v>
      </x:c>
      <x:c r="E140" s="16" t="str">
        <x:v>Partial</x:v>
      </x:c>
      <x:c r="F140" s="13" t="str">
        <x:v>P09</x:v>
      </x:c>
      <x:c r="G140" s="13" t="str">
        <x:v>P0</x:v>
      </x:c>
      <x:c r="H140" s="13" t="str">
        <x:v>Codex owns remaining engineering; owner supplies listed external gates</x:v>
      </x:c>
      <x:c r="I140" s="13" t="str">
        <x:v>Existing private API/web/worker CDK services and locked container sources remain.</x:v>
      </x:c>
      <x:c r="J140" s="13" t="str">
        <x:v>Codex must complete first-deploy image/migration/bootstrap orchestration before actual AWS rollout testing.</x:v>
      </x:c>
      <x:c r="K140" s="13" t="str">
        <x:v>A task/AZ failure and deployment rollout preserve service availability within the release target.</x:v>
      </x:c>
      <x:c r="L140" s="13" t="str">
        <x:v>Production requirement</x:v>
      </x:c>
      <x:c r="M140" s="13" t="str">
        <x:v>B01/B02</x:v>
      </x:c>
      <x:c r="N140" s="14" t="d">
        <x:v>2026-10-22T00:00:00.000Z</x:v>
      </x:c>
    </x:row>
    <x:row r="141" ht="68" customHeight="1">
      <x:c r="A141" s="15" t="str">
        <x:v>AWS-006</x:v>
      </x:c>
      <x:c r="B141" s="13" t="str">
        <x:v>Route53, ACM and CloudFront edge distribution</x:v>
      </x:c>
      <x:c r="C141" s="13" t="str">
        <x:v>AWS platform and delivery</x:v>
      </x:c>
      <x:c r="D141" s="13" t="str">
        <x:v>Production</x:v>
      </x:c>
      <x:c r="E141" s="16" t="str">
        <x:v>Blocked</x:v>
      </x:c>
      <x:c r="F141" s="13" t="str">
        <x:v>P09</x:v>
      </x:c>
      <x:c r="G141" s="13" t="str">
        <x:v>P0</x:v>
      </x:c>
      <x:c r="H141" s="13" t="str">
        <x:v>Owner supplies access/decision; Codex executes verification</x:v>
      </x:c>
      <x:c r="I141" s="13" t="str">
        <x:v>infra/src/stacks.ts; runner-stack.ts; Route53/ACM/CloudFront private VPC-origin source; dynamic cache-disabled and hashed-asset cache assertions Build03 review: remaining acceptance requires the named external gate; not represented as verified.</x:v>
      </x:c>
      <x:c r="J141" s="13" t="str">
        <x:v>Activate domain/cert and test actual signed-in cache separation and streaming globally.</x:v>
      </x:c>
      <x:c r="K141" s="13" t="str">
        <x:v>Public assets cache globally; authenticated API, SSE and private results are not shared-cache leaked.</x:v>
      </x:c>
      <x:c r="L141" s="13" t="str">
        <x:v>Production requirement</x:v>
      </x:c>
      <x:c r="M141" s="13" t="str">
        <x:v>B02/B05</x:v>
      </x:c>
      <x:c r="N141" s="14" t="d">
        <x:v>2026-10-22T00:00:00.000Z</x:v>
      </x:c>
    </x:row>
    <x:row r="142" ht="66" customHeight="1">
      <x:c r="A142" s="15" t="str">
        <x:v>AWS-007</x:v>
      </x:c>
      <x:c r="B142" s="13" t="str">
        <x:v>WAF, origin restriction and public abuse limits</x:v>
      </x:c>
      <x:c r="C142" s="13" t="str">
        <x:v>AWS platform and delivery</x:v>
      </x:c>
      <x:c r="D142" s="13" t="str">
        <x:v>Production</x:v>
      </x:c>
      <x:c r="E142" s="16" t="str">
        <x:v>Partial</x:v>
      </x:c>
      <x:c r="F142" s="13" t="str">
        <x:v>P09</x:v>
      </x:c>
      <x:c r="G142" s="13" t="str">
        <x:v>P0</x:v>
      </x:c>
      <x:c r="H142" s="13" t="str">
        <x:v>Codex owns remaining engineering; owner supplies listed external gates</x:v>
      </x:c>
      <x:c r="I142" s="13" t="str">
        <x:v>infra/src/stacks.ts; runner-stack.ts; Private ALB, CloudFront VPC origin, IP/auth WAF rates and managed IP reputation source</x:v>
      </x:c>
      <x:c r="J142" s="13" t="str">
        <x:v>Tighten managed-origin SG after creation and demonstrate direct-origin/abuse denial in staging.</x:v>
      </x:c>
      <x:c r="K142" s="13" t="str">
        <x:v>Direct-origin bypass and abusive requests fail without blocking normal auth/API usage.</x:v>
      </x:c>
      <x:c r="L142" s="13" t="str">
        <x:v>Production requirement</x:v>
      </x:c>
      <x:c r="M142" s="13" t="str">
        <x:v>B02/B05</x:v>
      </x:c>
      <x:c r="N142" s="14" t="d">
        <x:v>2026-10-22T00:00:00.000Z</x:v>
      </x:c>
    </x:row>
    <x:row r="143" ht="68" customHeight="1">
      <x:c r="A143" s="15" t="str">
        <x:v>AWS-008</x:v>
      </x:c>
      <x:c r="B143" s="13" t="str">
        <x:v>RDS PostgreSQL Multi-AZ and migrations</x:v>
      </x:c>
      <x:c r="C143" s="13" t="str">
        <x:v>AWS platform and delivery</x:v>
      </x:c>
      <x:c r="D143" s="13" t="str">
        <x:v>Production</x:v>
      </x:c>
      <x:c r="E143" s="16" t="str">
        <x:v>Blocked</x:v>
      </x:c>
      <x:c r="F143" s="13" t="str">
        <x:v>P09</x:v>
      </x:c>
      <x:c r="G143" s="13" t="str">
        <x:v>P0</x:v>
      </x:c>
      <x:c r="H143" s="13" t="str">
        <x:v>Owner supplies access/decision; Codex executes verification</x:v>
      </x:c>
      <x:c r="I143" s="13" t="str">
        <x:v>infra/src/stacks.ts; runner-stack.ts; Encrypted private PostgreSQL16 Multi-AZ production source; CA-verified pool, migrations and restricted runtime bootstrap Build03 review: remaining acceptance requires the named external gate; not represented as verified.</x:v>
      </x:c>
      <x:c r="J143" s="13" t="str">
        <x:v>Native multi-client/failover and owner-controlled migration task/privilege verification.</x:v>
      </x:c>
      <x:c r="K143" s="13" t="str">
        <x:v>Failover reconnects application and preserves transaction/ledger invariants.</x:v>
      </x:c>
      <x:c r="L143" s="13" t="str">
        <x:v>Production requirement</x:v>
      </x:c>
      <x:c r="M143" s="13" t="str">
        <x:v>B01/B02</x:v>
      </x:c>
      <x:c r="N143" s="14" t="d">
        <x:v>2026-10-22T00:00:00.000Z</x:v>
      </x:c>
    </x:row>
    <x:row r="144" ht="68" customHeight="1">
      <x:c r="A144" s="15" t="str">
        <x:v>AWS-009</x:v>
      </x:c>
      <x:c r="B144" s="13" t="str">
        <x:v>Private S3 buckets and lifecycle policies</x:v>
      </x:c>
      <x:c r="C144" s="13" t="str">
        <x:v>AWS platform and delivery</x:v>
      </x:c>
      <x:c r="D144" s="13" t="str">
        <x:v>Production</x:v>
      </x:c>
      <x:c r="E144" s="16" t="str">
        <x:v>Blocked</x:v>
      </x:c>
      <x:c r="F144" s="13" t="str">
        <x:v>P09</x:v>
      </x:c>
      <x:c r="G144" s="13" t="str">
        <x:v>P0</x:v>
      </x:c>
      <x:c r="H144" s="13" t="str">
        <x:v>Owner supplies access/decision; Codex executes verification</x:v>
      </x:c>
      <x:c r="I144" s="13" t="str">
        <x:v>infra/src/stacks.ts; runner-stack.ts; Private versioned KMS S3, quarantine expiration, safe text promotion and bounded signed metadata source Build03 review: remaining acceptance requires the named external gate; not represented as verified.</x:v>
      </x:c>
      <x:c r="J144" s="13" t="str">
        <x:v>Actual bucket public-access/CORS/key/presign/version cleanup checks.</x:v>
      </x:c>
      <x:c r="K144" s="13" t="str">
        <x:v>Bucket-public-access checks pass; temporary downloads and cleanup work.</x:v>
      </x:c>
      <x:c r="L144" s="13" t="str">
        <x:v>Production requirement</x:v>
      </x:c>
      <x:c r="M144" s="13" t="str">
        <x:v>B02</x:v>
      </x:c>
      <x:c r="N144" s="14" t="d">
        <x:v>2026-10-22T00:00:00.000Z</x:v>
      </x:c>
    </x:row>
    <x:row r="145" ht="68" customHeight="1">
      <x:c r="A145" s="15" t="str">
        <x:v>AWS-010</x:v>
      </x:c>
      <x:c r="B145" s="13" t="str">
        <x:v>Shared limiter, SQS queues and scheduler</x:v>
      </x:c>
      <x:c r="C145" s="13" t="str">
        <x:v>AWS platform and delivery</x:v>
      </x:c>
      <x:c r="D145" s="13" t="str">
        <x:v>Production</x:v>
      </x:c>
      <x:c r="E145" s="16" t="str">
        <x:v>Blocked</x:v>
      </x:c>
      <x:c r="F145" s="13" t="str">
        <x:v>P09</x:v>
      </x:c>
      <x:c r="G145" s="13" t="str">
        <x:v>P0</x:v>
      </x:c>
      <x:c r="H145" s="13" t="str">
        <x:v>Owner supplies access/decision; Codex executes verification</x:v>
      </x:c>
      <x:c r="I145" s="13" t="str">
        <x:v>infra/src/stacks.ts; runner-stack.ts; SQL-authoritative quota/outbox/leases; encrypted SQS/DLQ notification bridge and worker scheduler Build03 review: remaining acceptance requires the named external gate; not represented as verified.</x:v>
      </x:c>
      <x:c r="J145" s="13" t="str">
        <x:v>Multi-replica native contention, SQS notification loss/replay and worker failure acceptance.</x:v>
      </x:c>
      <x:c r="K145" s="13" t="str">
        <x:v>Queue replay, cache loss and multiple replicas preserve durable quota and ownership invariants.</x:v>
      </x:c>
      <x:c r="L145" s="13" t="str">
        <x:v>Production requirement</x:v>
      </x:c>
      <x:c r="M145" s="13" t="str">
        <x:v>B01/B02</x:v>
      </x:c>
      <x:c r="N145" s="14" t="d">
        <x:v>2026-10-22T00:00:00.000Z</x:v>
      </x:c>
    </x:row>
    <x:row r="146" ht="68" customHeight="1">
      <x:c r="A146" s="15" t="str">
        <x:v>AWS-011</x:v>
      </x:c>
      <x:c r="B146" s="13" t="str">
        <x:v>Secrets Manager and configuration separation</x:v>
      </x:c>
      <x:c r="C146" s="13" t="str">
        <x:v>AWS platform and delivery</x:v>
      </x:c>
      <x:c r="D146" s="13" t="str">
        <x:v>Production</x:v>
      </x:c>
      <x:c r="E146" s="16" t="str">
        <x:v>Blocked</x:v>
      </x:c>
      <x:c r="F146" s="13" t="str">
        <x:v>P09</x:v>
      </x:c>
      <x:c r="G146" s="13" t="str">
        <x:v>P0</x:v>
      </x:c>
      <x:c r="H146" s="13" t="str">
        <x:v>Owner supplies access/decision; Codex executes verification</x:v>
      </x:c>
      <x:c r="I146" s="13" t="str">
        <x:v>infra/src/stacks.ts; runner-stack.ts; Separate task secret fields, no browser secrets, worker-only provider key; runtime/bootstrap IAM source Build03 review: remaining acceptance requires the named external gate; not represented as verified.</x:v>
      </x:c>
      <x:c r="J146" s="13" t="str">
        <x:v>Verify real least privilege/KMS/execution role access and bundled asset secret scan in deployed accounts.</x:v>
      </x:c>
      <x:c r="K146" s="13" t="str">
        <x:v>Frontend bundles contain no server key and each task can read only approved secrets.</x:v>
      </x:c>
      <x:c r="L146" s="13" t="str">
        <x:v>Production requirement</x:v>
      </x:c>
      <x:c r="M146" s="13" t="str">
        <x:v>B02/B09</x:v>
      </x:c>
      <x:c r="N146" s="14" t="d">
        <x:v>2026-10-22T00:00:00.000Z</x:v>
      </x:c>
    </x:row>
    <x:row r="147" ht="66" customHeight="1">
      <x:c r="A147" s="15" t="str">
        <x:v>AWS-012</x:v>
      </x:c>
      <x:c r="B147" s="13" t="str">
        <x:v>SES domain, DKIM and delivery events</x:v>
      </x:c>
      <x:c r="C147" s="13" t="str">
        <x:v>AWS platform and delivery</x:v>
      </x:c>
      <x:c r="D147" s="13" t="str">
        <x:v>Production</x:v>
      </x:c>
      <x:c r="E147" s="16" t="str">
        <x:v>Partial</x:v>
      </x:c>
      <x:c r="F147" s="13" t="str">
        <x:v>P09</x:v>
      </x:c>
      <x:c r="G147" s="13" t="str">
        <x:v>P0</x:v>
      </x:c>
      <x:c r="H147" s="13" t="str">
        <x:v>Codex owns remaining engineering; owner supplies listed external gates</x:v>
      </x:c>
      <x:c r="I147" s="13" t="str">
        <x:v>infra/src/stacks.ts; runner-stack.ts; SES identity/DKIM/configuration-set event destination and OTP mailer source</x:v>
      </x:c>
      <x:c r="J147" s="13" t="str">
        <x:v>Verify domain, SES production sending, actual delivery/bounce/complaint handling and support mailbox.</x:v>
      </x:c>
      <x:c r="K147" s="13" t="str">
        <x:v>OTP/support delivery works for eligible recipients and bounce/complaint events are handled.</x:v>
      </x:c>
      <x:c r="L147" s="13" t="str">
        <x:v>Production requirement</x:v>
      </x:c>
      <x:c r="M147" s="13" t="str">
        <x:v>B02/B05/B07</x:v>
      </x:c>
      <x:c r="N147" s="14" t="d">
        <x:v>2026-10-22T00:00:00.000Z</x:v>
      </x:c>
    </x:row>
    <x:row r="148" ht="68" customHeight="1">
      <x:c r="A148" s="15" t="str">
        <x:v>AWS-013</x:v>
      </x:c>
      <x:c r="B148" s="13" t="str">
        <x:v>CI test/build/scan and OIDC deployment workflow</x:v>
      </x:c>
      <x:c r="C148" s="13" t="str">
        <x:v>AWS platform and delivery</x:v>
      </x:c>
      <x:c r="D148" s="13" t="str">
        <x:v>Production</x:v>
      </x:c>
      <x:c r="E148" s="16" t="str">
        <x:v>Blocked</x:v>
      </x:c>
      <x:c r="F148" s="13" t="str">
        <x:v>P09</x:v>
      </x:c>
      <x:c r="G148" s="13" t="str">
        <x:v>P0</x:v>
      </x:c>
      <x:c r="H148" s="13" t="str">
        <x:v>Owner supplies access/decision; Codex executes verification</x:v>
      </x:c>
      <x:c r="I148" s="13" t="str">
        <x:v>infra/src/stacks.ts; runner-stack.ts; Pinned official Actions revisions, verify/container workflows, exact repo-environment OIDC, gated digest ECS rollout/rollback Build03 review: remaining acceptance requires the named external gate; not represented as verified.</x:v>
      </x:c>
      <x:c r="J148" s="13" t="str">
        <x:v>Configure protected owner repo/environments, execute CI/scans, prove untrusted branch denial and rollback.</x:v>
      </x:c>
      <x:c r="K148" s="13" t="str">
        <x:v>Untrusted branches cannot assume production role; a failed smoke test triggers controlled rollback.</x:v>
      </x:c>
      <x:c r="L148" s="13" t="str">
        <x:v>Production requirement</x:v>
      </x:c>
      <x:c r="M148" s="13" t="str">
        <x:v>B01/B02/B09</x:v>
      </x:c>
      <x:c r="N148" s="14" t="d">
        <x:v>2026-10-22T00:00:00.000Z</x:v>
      </x:c>
    </x:row>
    <x:row r="149" ht="66" customHeight="1">
      <x:c r="A149" s="15" t="str">
        <x:v>AWS-014</x:v>
      </x:c>
      <x:c r="B149" s="13" t="str">
        <x:v>Metrics, logs, alerts and synthetic checks</x:v>
      </x:c>
      <x:c r="C149" s="13" t="str">
        <x:v>AWS platform and delivery</x:v>
      </x:c>
      <x:c r="D149" s="13" t="str">
        <x:v>Production</x:v>
      </x:c>
      <x:c r="E149" s="16" t="str">
        <x:v>Partial</x:v>
      </x:c>
      <x:c r="F149" s="13" t="str">
        <x:v>P09</x:v>
      </x:c>
      <x:c r="G149" s="13" t="str">
        <x:v>P0</x:v>
      </x:c>
      <x:c r="H149" s="13" t="str">
        <x:v>Codex owns remaining engineering; owner supplies listed external gates</x:v>
      </x:c>
      <x:c r="I149" s="13" t="str">
        <x:v>Existing metadata logging and base alarm source remains.</x:v>
      </x:c>
      <x:c r="J149" s="13" t="str">
        <x:v>Codex must complete latency/financial dashboards and alert wiring, then measure real delivery/synthetic checks.</x:v>
      </x:c>
      <x:c r="K149" s="13" t="str">
        <x:v>Test alerts for 5xx, latency, AI errors, queue depth, DB and quota/billing anomalies reach owner.</x:v>
      </x:c>
      <x:c r="L149" s="13" t="str">
        <x:v>Production requirement</x:v>
      </x:c>
      <x:c r="M149" s="13" t="str">
        <x:v>B02/B07</x:v>
      </x:c>
      <x:c r="N149" s="14" t="d">
        <x:v>2026-10-22T00:00:00.000Z</x:v>
      </x:c>
    </x:row>
    <x:row r="150" ht="66" customHeight="1">
      <x:c r="A150" s="15" t="str">
        <x:v>AWS-015</x:v>
      </x:c>
      <x:c r="B150" s="13" t="str">
        <x:v>Backups, restore and regional disaster recovery</x:v>
      </x:c>
      <x:c r="C150" s="13" t="str">
        <x:v>AWS platform and delivery</x:v>
      </x:c>
      <x:c r="D150" s="13" t="str">
        <x:v>Production</x:v>
      </x:c>
      <x:c r="E150" s="16" t="str">
        <x:v>Partial</x:v>
      </x:c>
      <x:c r="F150" s="13" t="str">
        <x:v>P09</x:v>
      </x:c>
      <x:c r="G150" s="13" t="str">
        <x:v>P0</x:v>
      </x:c>
      <x:c r="H150" s="13" t="str">
        <x:v>Codex owns remaining engineering; owner supplies listed external gates</x:v>
      </x:c>
      <x:c r="I150" s="13" t="str">
        <x:v>Existing RDS/S3 backup and restore/rollback runbooks remain.</x:v>
      </x:c>
      <x:c r="J150" s="13" t="str">
        <x:v>Codex must implement second-region backup/key-copy configuration and then run measured restores with deleted-user reconciliation.</x:v>
      </x:c>
      <x:c r="K150" s="13" t="str">
        <x:v>Measured restoration recovers app, files and financial invariants within agreed targets.</x:v>
      </x:c>
      <x:c r="L150" s="13" t="str">
        <x:v>Production requirement</x:v>
      </x:c>
      <x:c r="M150" s="13" t="str">
        <x:v>B02/B08</x:v>
      </x:c>
      <x:c r="N150" s="14" t="d">
        <x:v>2026-10-22T00:00:00.000Z</x:v>
      </x:c>
    </x:row>
    <x:row r="151" ht="68" customHeight="1">
      <x:c r="A151" s="15" t="str">
        <x:v>AWS-016</x:v>
      </x:c>
      <x:c r="B151" s="13" t="str">
        <x:v>Budgets, autoscaling ceilings and runner kill switch</x:v>
      </x:c>
      <x:c r="C151" s="13" t="str">
        <x:v>AWS platform and delivery</x:v>
      </x:c>
      <x:c r="D151" s="13" t="str">
        <x:v>Production</x:v>
      </x:c>
      <x:c r="E151" s="16" t="str">
        <x:v>Blocked</x:v>
      </x:c>
      <x:c r="F151" s="13" t="str">
        <x:v>P09</x:v>
      </x:c>
      <x:c r="G151" s="13" t="str">
        <x:v>P0</x:v>
      </x:c>
      <x:c r="H151" s="13" t="str">
        <x:v>Owner supplies access/decision; Codex executes verification</x:v>
      </x:c>
      <x:c r="I151" s="13" t="str">
        <x:v>infra/src/stacks.ts; runner-stack.ts; AWS budget alarm, max task/fleet ceilings, provider/runner DB kill switches and spending tests Build03 review: remaining acceptance requires the named external gate; not represented as verified.</x:v>
      </x:c>
      <x:c r="J151" s="13" t="str">
        <x:v>Observe actual budget/scale/kill-switch behavior and approve cost/capacity targets.</x:v>
      </x:c>
      <x:c r="K151" s="13" t="str">
        <x:v>Cost alarm is observed; application kill switch rejects new costly work; local tools remain usable.</x:v>
      </x:c>
      <x:c r="L151" s="13" t="str">
        <x:v>Production requirement</x:v>
      </x:c>
      <x:c r="M151" s="13" t="str">
        <x:v>B02/B03/B08</x:v>
      </x:c>
      <x:c r="N151" s="14" t="d">
        <x:v>2026-10-22T00:00:00.000Z</x:v>
      </x:c>
    </x:row>
    <x:row r="152" ht="68" customHeight="1">
      <x:c r="A152" s="15" t="str">
        <x:v>QAS-003</x:v>
      </x:c>
      <x:c r="B152" s="13" t="str">
        <x:v>Database/service integration and migrations</x:v>
      </x:c>
      <x:c r="C152" s="13" t="str">
        <x:v>Quality and release verification</x:v>
      </x:c>
      <x:c r="D152" s="13" t="str">
        <x:v>Production</x:v>
      </x:c>
      <x:c r="E152" s="16" t="str">
        <x:v>Blocked</x:v>
      </x:c>
      <x:c r="F152" s="13" t="str">
        <x:v>P10</x:v>
      </x:c>
      <x:c r="G152" s="13" t="str">
        <x:v>P0</x:v>
      </x:c>
      <x:c r="H152" s="13" t="str">
        <x:v>Owner supplies access/decision; Codex executes verification</x:v>
      </x:c>
      <x:c r="I152" s="13" t="str">
        <x:v>64 DB/service fixtures include clean + Build01-to02 upgrade/checksum/replay/ownership/deletion; PostgreSQL WASM passes Build03 review: remaining acceptance requires the named external gate; not represented as verified.</x:v>
      </x:c>
      <x:c r="J152" s="13" t="str">
        <x:v>Run unchanged suite against native multiple connections and actual containers/RDS.</x:v>
      </x:c>
      <x:c r="K152" s="13" t="str">
        <x:v>Concurrent ledger, identity and deletion fixtures pass on a clean and upgraded database.</x:v>
      </x:c>
      <x:c r="L152" s="13" t="str">
        <x:v>Production requirement</x:v>
      </x:c>
      <x:c r="M152" s="13" t="str">
        <x:v>B01/B02</x:v>
      </x:c>
      <x:c r="N152" s="14" t="d">
        <x:v>2026-10-22T00:00:00.000Z</x:v>
      </x:c>
    </x:row>
    <x:row r="153" ht="66" customHeight="1">
      <x:c r="A153" s="15" t="str">
        <x:v>QAS-004</x:v>
      </x:c>
      <x:c r="B153" s="13" t="str">
        <x:v>Real provider end-to-end quality and failures</x:v>
      </x:c>
      <x:c r="C153" s="13" t="str">
        <x:v>Quality and release verification</x:v>
      </x:c>
      <x:c r="D153" s="13" t="str">
        <x:v>Production</x:v>
      </x:c>
      <x:c r="E153" s="16" t="str">
        <x:v>Blocked</x:v>
      </x:c>
      <x:c r="F153" s="13" t="str">
        <x:v>P10</x:v>
      </x:c>
      <x:c r="G153" s="13" t="str">
        <x:v>P0</x:v>
      </x:c>
      <x:c r="H153" s="13" t="str">
        <x:v>Owner decision/access; Codex after unblock</x:v>
      </x:c>
      <x:c r="I153" s="13" t="str">
        <x:v>ops/ACCEPTANCE.md specifies unseen fixtures, actual quality/cost and failure evidence; provider adapter mock contract tests pass</x:v>
      </x:c>
      <x:c r="J153" s="13" t="str">
        <x:v>Real provider key/quota/approved model and retention are required to run quality/cost end-to-end acceptance.</x:v>
      </x:c>
      <x:c r="K153" s="13" t="str">
        <x:v>Curated unseen fixtures meet documented quality/cost criteria and no false verification claims appear.</x:v>
      </x:c>
      <x:c r="L153" s="13" t="str">
        <x:v>09-10,50-57</x:v>
      </x:c>
      <x:c r="M153" s="13" t="str">
        <x:v>B03/B08</x:v>
      </x:c>
      <x:c r="N153" s="14" t="d">
        <x:v>2026-10-22T00:00:00.000Z</x:v>
      </x:c>
    </x:row>
    <x:row r="154" ht="66" customHeight="1">
      <x:c r="A154" s="15" t="str">
        <x:v>QAS-005</x:v>
      </x:c>
      <x:c r="B154" s="13" t="str">
        <x:v>Checkout/webhook sandbox integration</x:v>
      </x:c>
      <x:c r="C154" s="13" t="str">
        <x:v>Quality and release verification</x:v>
      </x:c>
      <x:c r="D154" s="13" t="str">
        <x:v>Production</x:v>
      </x:c>
      <x:c r="E154" s="16" t="str">
        <x:v>Blocked</x:v>
      </x:c>
      <x:c r="F154" s="13" t="str">
        <x:v>P10</x:v>
      </x:c>
      <x:c r="G154" s="13" t="str">
        <x:v>P0</x:v>
      </x:c>
      <x:c r="H154" s="13" t="str">
        <x:v>Owner supplies access/decision; Codex executes verification</x:v>
      </x:c>
      <x:c r="I154" s="13" t="str">
        <x:v>Paddle raw signature/HTTP route, price/country, bound payment, stale/replay contract tests pass Build03 review: remaining acceptance requires the named external gate; not represented as verified.</x:v>
      </x:c>
      <x:c r="J154" s="13" t="str">
        <x:v>Merchant sandbox purchase/renewal/cancel/refund reconciliation remains unperformed.</x:v>
      </x:c>
      <x:c r="K154" s="13" t="str">
        <x:v>Provider events reconcile idempotently with subscriptions and allowance grants.</x:v>
      </x:c>
      <x:c r="L154" s="13" t="str">
        <x:v>27-30</x:v>
      </x:c>
      <x:c r="M154" s="13" t="str">
        <x:v>B04</x:v>
      </x:c>
      <x:c r="N154" s="14" t="d">
        <x:v>2026-10-22T00:00:00.000Z</x:v>
      </x:c>
    </x:row>
    <x:row r="155" ht="68" customHeight="1">
      <x:c r="A155" s="15" t="str">
        <x:v>QAS-007</x:v>
      </x:c>
      <x:c r="B155" s="13" t="str">
        <x:v>Five-runtime isolation and resource-abuse tests</x:v>
      </x:c>
      <x:c r="C155" s="13" t="str">
        <x:v>Quality and release verification</x:v>
      </x:c>
      <x:c r="D155" s="13" t="str">
        <x:v>Production</x:v>
      </x:c>
      <x:c r="E155" s="16" t="str">
        <x:v>Blocked</x:v>
      </x:c>
      <x:c r="F155" s="13" t="str">
        <x:v>P10</x:v>
      </x:c>
      <x:c r="G155" s="13" t="str">
        <x:v>P0</x:v>
      </x:c>
      <x:c r="H155" s="13" t="str">
        <x:v>Owner supplies access/decision; Codex executes verification</x:v>
      </x:c>
      <x:c r="I155" s="13" t="str">
        <x:v>Five-runtime image/entrypoint, policy/capability tests and signed native-probe harness; never runs jobs on app host Build03 review: remaining acceptance requires the named external gate; not represented as verified.</x:v>
      </x:c>
      <x:c r="J155" s="13" t="str">
        <x:v>Execute native functional, loop/memory/fork/disk/output/metadata/network/residue probes and inspect evidence.</x:v>
      </x:c>
      <x:c r="K155" s="13" t="str">
        <x:v>All abuse fixtures are bounded and no protected data or cross-job state is exposed.</x:v>
      </x:c>
      <x:c r="L155" s="13" t="str">
        <x:v>23-26</x:v>
      </x:c>
      <x:c r="M155" s="13" t="str">
        <x:v>B01/B02</x:v>
      </x:c>
      <x:c r="N155" s="14" t="d">
        <x:v>2026-10-22T00:00:00.000Z</x:v>
      </x:c>
    </x:row>
    <x:row r="156" ht="66" customHeight="1">
      <x:c r="A156" s="15" t="str">
        <x:v>QAS-008</x:v>
      </x:c>
      <x:c r="B156" s="13" t="str">
        <x:v>Load, saturation and autoscaling checks</x:v>
      </x:c>
      <x:c r="C156" s="13" t="str">
        <x:v>Quality and release verification</x:v>
      </x:c>
      <x:c r="D156" s="13" t="str">
        <x:v>Production</x:v>
      </x:c>
      <x:c r="E156" s="16" t="str">
        <x:v>Partial</x:v>
      </x:c>
      <x:c r="F156" s="13" t="str">
        <x:v>P10</x:v>
      </x:c>
      <x:c r="G156" s="13" t="str">
        <x:v>P0</x:v>
      </x:c>
      <x:c r="H156" s="13" t="str">
        <x:v>Codex owns remaining engineering; owner supplies listed external gates</x:v>
      </x:c>
      <x:c r="I156" s="13" t="str">
        <x:v>100 real loopback readiness requests at concurrency 10: zero errors; 10,000-row indexed history fixture; bounded load script</x:v>
      </x:c>
      <x:c r="J156" s="13" t="str">
        <x:v>Measure native DB, AI/runner saturation, fairness and ECS autoscaling at approved staging targets.</x:v>
      </x:c>
      <x:c r="K156" s="13" t="str">
        <x:v>Latency/error/queue/concurrency targets hold and overload returns controlled admission errors.</x:v>
      </x:c>
      <x:c r="L156" s="13" t="str">
        <x:v>Production requirement</x:v>
      </x:c>
      <x:c r="M156" s="13" t="str">
        <x:v>B01/B02/B03</x:v>
      </x:c>
      <x:c r="N156" s="14" t="d">
        <x:v>2026-10-22T00:00:00.000Z</x:v>
      </x:c>
    </x:row>
    <x:row r="157" ht="68" customHeight="1">
      <x:c r="A157" s="15" t="str">
        <x:v>QAS-009</x:v>
      </x:c>
      <x:c r="B157" s="13" t="str">
        <x:v>Backup restore and rollback drills</x:v>
      </x:c>
      <x:c r="C157" s="13" t="str">
        <x:v>Quality and release verification</x:v>
      </x:c>
      <x:c r="D157" s="13" t="str">
        <x:v>Production</x:v>
      </x:c>
      <x:c r="E157" s="16" t="str">
        <x:v>Blocked</x:v>
      </x:c>
      <x:c r="F157" s="13" t="str">
        <x:v>P10</x:v>
      </x:c>
      <x:c r="G157" s="13" t="str">
        <x:v>P0</x:v>
      </x:c>
      <x:c r="H157" s="13" t="str">
        <x:v>Owner supplies access/decision; Codex executes verification</x:v>
      </x:c>
      <x:c r="I157" s="13" t="str">
        <x:v>Persistent WASM restart baseline, forward-upgrade test, ECS rollback helper and timed restore record/runbook Build03 review: remaining acceptance requires the named external gate; not represented as verified.</x:v>
      </x:c>
      <x:c r="J157" s="13" t="str">
        <x:v>Perform real snapshot/PITR/S3 restoration and failed-release rollback drills with measured invariants/RPO/RTO.</x:v>
      </x:c>
      <x:c r="K157" s="13" t="str">
        <x:v>Rehearsals meet recovery targets and leave billing/usage data consistent.</x:v>
      </x:c>
      <x:c r="L157" s="13" t="str">
        <x:v>Production requirement</x:v>
      </x:c>
      <x:c r="M157" s="13" t="str">
        <x:v>B02/B08</x:v>
      </x:c>
      <x:c r="N157" s="14" t="d">
        <x:v>2026-10-22T00:00:00.000Z</x:v>
      </x:c>
    </x:row>
    <x:row r="158" ht="66" customHeight="1">
      <x:c r="A158" s="15" t="str">
        <x:v>QAS-011</x:v>
      </x:c>
      <x:c r="B158" s="13" t="str">
        <x:v>Public-country performance and availability probes</x:v>
      </x:c>
      <x:c r="C158" s="13" t="str">
        <x:v>Quality and release verification</x:v>
      </x:c>
      <x:c r="D158" s="13" t="str">
        <x:v>Production</x:v>
      </x:c>
      <x:c r="E158" s="16" t="str">
        <x:v>Blocked</x:v>
      </x:c>
      <x:c r="F158" s="13" t="str">
        <x:v>P10</x:v>
      </x:c>
      <x:c r="G158" s="13" t="str">
        <x:v>P0</x:v>
      </x:c>
      <x:c r="H158" s="13" t="str">
        <x:v>Owner decision/access; Codex after unblock</x:v>
      </x:c>
      <x:c r="I158" s="13" t="str">
        <x:v>Read-only regional http-probe.mjs and explicit country acceptance scenarios are prepared</x:v>
      </x:c>
      <x:c r="J158" s="13" t="str">
        <x:v>Need a deployed approved domain/service-country matrix and regional test agents for actual measurements.</x:v>
      </x:c>
      <x:c r="K158" s="13" t="str">
        <x:v>DNS/TLS, login, generation/chat, file actions and checkout work within approved measured targets.</x:v>
      </x:c>
      <x:c r="L158" s="13" t="str">
        <x:v>Production requirement</x:v>
      </x:c>
      <x:c r="M158" s="13" t="str">
        <x:v>B02/B05/B08</x:v>
      </x:c>
      <x:c r="N158" s="14" t="d">
        <x:v>2026-10-22T00:00:00.000Z</x:v>
      </x:c>
    </x:row>
    <x:row r="159" ht="66" customHeight="1">
      <x:c r="A159" s="15" t="str">
        <x:v>SEC-005</x:v>
      </x:c>
      <x:c r="B159" s="13" t="str">
        <x:v>Upload/archive and content extraction safety</x:v>
      </x:c>
      <x:c r="C159" s="13" t="str">
        <x:v>Security and data handling</x:v>
      </x:c>
      <x:c r="D159" s="13" t="str">
        <x:v>Production</x:v>
      </x:c>
      <x:c r="E159" s="16" t="str">
        <x:v>Partial</x:v>
      </x:c>
      <x:c r="F159" s="13" t="str">
        <x:v>P10</x:v>
      </x:c>
      <x:c r="G159" s="13" t="str">
        <x:v>P0</x:v>
      </x:c>
      <x:c r="H159" s="13" t="str">
        <x:v>Codex owns remaining engineering; owner supplies listed external gates</x:v>
      </x:c>
      <x:c r="I159" s="13" t="str">
        <x:v>Bounded ZIP central/local header/ratio/CRC/UTF-8/path/symlink tests; text quarantine integrity/promotion tests</x:v>
      </x:c>
      <x:c r="J159" s="13" t="str">
        <x:v>Audit native parser resource behavior, S3 retry races and any future binary extraction/malware pipeline.</x:v>
      </x:c>
      <x:c r="K159" s="13" t="str">
        <x:v>Archive and parser abuse fixtures are rejected without application outage.</x:v>
      </x:c>
      <x:c r="L159" s="13" t="str">
        <x:v>33; advertised</x:v>
      </x:c>
      <x:c r="M159" s="13" t="str">
        <x:v>B01/B02</x:v>
      </x:c>
      <x:c r="N159" s="14" t="d">
        <x:v>2026-10-22T00:00:00.000Z</x:v>
      </x:c>
    </x:row>
    <x:row r="160" ht="66" customHeight="1">
      <x:c r="A160" s="15" t="str">
        <x:v>SEC-007</x:v>
      </x:c>
      <x:c r="B160" s="13" t="str">
        <x:v>Account abuse, bot and spend protection</x:v>
      </x:c>
      <x:c r="C160" s="13" t="str">
        <x:v>Security and data handling</x:v>
      </x:c>
      <x:c r="D160" s="13" t="str">
        <x:v>Production</x:v>
      </x:c>
      <x:c r="E160" s="16" t="str">
        <x:v>Partial</x:v>
      </x:c>
      <x:c r="F160" s="13" t="str">
        <x:v>P10</x:v>
      </x:c>
      <x:c r="G160" s="13" t="str">
        <x:v>P0</x:v>
      </x:c>
      <x:c r="H160" s="13" t="str">
        <x:v>Codex owns remaining engineering; owner supplies listed external gates</x:v>
      </x:c>
      <x:c r="I160" s="13" t="str">
        <x:v>Turnstile/public identity rate guards, shared anonymous counters, model/spend ceiling and MFA controls; fixtures pass</x:v>
      </x:c>
      <x:c r="J160" s="13" t="str">
        <x:v>Complete anonymous dispatch integration and verify edge client-IP, WAF and provider/runner costs under deployed abuse.</x:v>
      </x:c>
      <x:c r="K160" s="13" t="str">
        <x:v>Automated abuse is bounded before provider and runner costs escalate.</x:v>
      </x:c>
      <x:c r="L160" s="13" t="str">
        <x:v>Production requirement</x:v>
      </x:c>
      <x:c r="M160" s="13" t="str">
        <x:v>B01/B02/B03</x:v>
      </x:c>
      <x:c r="N160" s="14" t="d">
        <x:v>2026-10-22T00:00:00.000Z</x:v>
      </x:c>
    </x:row>
    <x:row r="161" ht="66" customHeight="1">
      <x:c r="A161" s="15" t="str">
        <x:v>SEC-009</x:v>
      </x:c>
      <x:c r="B161" s="13" t="str">
        <x:v>Security audit trail and operator actions</x:v>
      </x:c>
      <x:c r="C161" s="13" t="str">
        <x:v>Security and data handling</x:v>
      </x:c>
      <x:c r="D161" s="13" t="str">
        <x:v>Production</x:v>
      </x:c>
      <x:c r="E161" s="16" t="str">
        <x:v>Partial</x:v>
      </x:c>
      <x:c r="F161" s="13" t="str">
        <x:v>P10</x:v>
      </x:c>
      <x:c r="G161" s="13" t="str">
        <x:v>P0</x:v>
      </x:c>
      <x:c r="H161" s="13" t="str">
        <x:v>Codex owns remaining engineering; owner supplies listed external gates</x:v>
      </x:c>
      <x:c r="I161" s="13" t="str">
        <x:v>Append-only DB audit/ledger guards, MFA role/one-use operator controls and safe metadata logs; tests pass</x:v>
      </x:c>
      <x:c r="J161" s="13" t="str">
        <x:v>Protected operator enrollment/console, native privilege checks and observed CloudTrail/alert review remain.</x:v>
      </x:c>
      <x:c r="K161" s="13" t="str">
        <x:v>Admin changes are attributable, append-only and access controlled.</x:v>
      </x:c>
      <x:c r="L161" s="13" t="str">
        <x:v>Production requirement</x:v>
      </x:c>
      <x:c r="M161" s="13" t="str">
        <x:v>B01/B02</x:v>
      </x:c>
      <x:c r="N161" s="14" t="d">
        <x:v>2026-10-22T00:00:00.000Z</x:v>
      </x:c>
    </x:row>
    <x:row r="162" ht="68" customHeight="1">
      <x:c r="A162" s="15" t="str">
        <x:v>SEC-011</x:v>
      </x:c>
      <x:c r="B162" s="13" t="str">
        <x:v>Backup confidentiality and deletion policy</x:v>
      </x:c>
      <x:c r="C162" s="13" t="str">
        <x:v>Security and data handling</x:v>
      </x:c>
      <x:c r="D162" s="13" t="str">
        <x:v>Production</x:v>
      </x:c>
      <x:c r="E162" s="16" t="str">
        <x:v>Blocked</x:v>
      </x:c>
      <x:c r="F162" s="13" t="str">
        <x:v>P10</x:v>
      </x:c>
      <x:c r="G162" s="13" t="str">
        <x:v>P0</x:v>
      </x:c>
      <x:c r="H162" s="13" t="str">
        <x:v>Owner supplies access/decision; Codex executes verification</x:v>
      </x:c>
      <x:c r="I162" s="13" t="str">
        <x:v>KMS retained backup resources, restricted runtime grant source, active-content deletion and recovery/tombstone procedure Build03 review: remaining acceptance requires the named external gate; not represented as verified.</x:v>
      </x:c>
      <x:c r="J162" s="13" t="str">
        <x:v>Approve backup expiry/deletion disclosure and prove private/audited restore with deleted-user reconciliation.</x:v>
      </x:c>
      <x:c r="K162" s="13" t="str">
        <x:v>Restore access is audited and user deletion disclosures match actual backup lifecycle.</x:v>
      </x:c>
      <x:c r="L162" s="13" t="str">
        <x:v>37-41</x:v>
      </x:c>
      <x:c r="M162" s="13" t="str">
        <x:v>B02/B08</x:v>
      </x:c>
      <x:c r="N162" s="14" t="d">
        <x:v>2026-10-22T00:00:00.000Z</x:v>
      </x:c>
    </x:row>
    <x:row r="163" ht="66" customHeight="1">
      <x:c r="A163" s="15" t="str">
        <x:v>REL-003</x:v>
      </x:c>
      <x:c r="B163" s="13" t="str">
        <x:v>Staging acceptance and private beta</x:v>
      </x:c>
      <x:c r="C163" s="13" t="str">
        <x:v>Launch and operations</x:v>
      </x:c>
      <x:c r="D163" s="13" t="str">
        <x:v>Production</x:v>
      </x:c>
      <x:c r="E163" s="16" t="str">
        <x:v>Blocked</x:v>
      </x:c>
      <x:c r="F163" s="13" t="str">
        <x:v>P11</x:v>
      </x:c>
      <x:c r="G163" s="13" t="str">
        <x:v>P0</x:v>
      </x:c>
      <x:c r="H163" s="13" t="str">
        <x:v>Owner decision/access; Codex after unblock</x:v>
      </x:c>
      <x:c r="I163" s="13" t="str">
        <x:v>Local service/UI contracts and staging beta acceptance record prepared; owner-private Site preserved</x:v>
      </x:c>
      <x:c r="J163" s="13" t="str">
        <x:v>Provision staging and complete real signup/eight tools/chat/files/history/shares/billing acceptance with recorded beta evidence.</x:v>
      </x:c>
      <x:c r="K163" s="13" t="str">
        <x:v>Signup, eight tools, chat, files/history, shares and billing pass recorded end-to-end scenarios.</x:v>
      </x:c>
      <x:c r="L163" s="13" t="str">
        <x:v>Production requirement</x:v>
      </x:c>
      <x:c r="M163" s="13" t="str">
        <x:v>B02/B03/B04/B06/B07</x:v>
      </x:c>
      <x:c r="N163" s="14" t="d">
        <x:v>2026-10-22T00:00:00.000Z</x:v>
      </x:c>
    </x:row>
    <x:row r="164" ht="66" customHeight="1">
      <x:c r="A164" s="15" t="str">
        <x:v>REL-001</x:v>
      </x:c>
      <x:c r="B164" s="13" t="str">
        <x:v>Approved launch countries, currency and service matrix</x:v>
      </x:c>
      <x:c r="C164" s="13" t="str">
        <x:v>Launch and operations</x:v>
      </x:c>
      <x:c r="D164" s="13" t="str">
        <x:v>Production</x:v>
      </x:c>
      <x:c r="E164" s="16" t="str">
        <x:v>Blocked</x:v>
      </x:c>
      <x:c r="F164" s="13" t="str">
        <x:v>P12</x:v>
      </x:c>
      <x:c r="G164" s="13" t="str">
        <x:v>P0</x:v>
      </x:c>
      <x:c r="H164" s="13" t="str">
        <x:v>Owner decision/access; Codex after unblock</x:v>
      </x:c>
      <x:c r="I164" s="13" t="str">
        <x:v>Empty country allowlist/default closed billing; POLICY_DECISIONS and country probe/service scenarios</x:v>
      </x:c>
      <x:c r="J164" s="13" t="str">
        <x:v>Owner must choose approved countries/currency/service matrix and verify provider/merchant eligibility.</x:v>
      </x:c>
      <x:c r="K164" s="13" t="str">
        <x:v>Only approved countries can purchase/use restricted services; support content explains coverage.</x:v>
      </x:c>
      <x:c r="L164" s="13" t="str">
        <x:v>Production requirement</x:v>
      </x:c>
      <x:c r="M164" s="13" t="str">
        <x:v>B04/B08</x:v>
      </x:c>
      <x:c r="N164" s="14" t="d">
        <x:v>2026-10-22T00:00:00.000Z</x:v>
      </x:c>
    </x:row>
    <x:row r="165" ht="66" customHeight="1">
      <x:c r="A165" s="15" t="str">
        <x:v>REL-002</x:v>
      </x:c>
      <x:c r="B165" s="13" t="str">
        <x:v>Owner-reviewed release configuration and prices</x:v>
      </x:c>
      <x:c r="C165" s="13" t="str">
        <x:v>Launch and operations</x:v>
      </x:c>
      <x:c r="D165" s="13" t="str">
        <x:v>Production</x:v>
      </x:c>
      <x:c r="E165" s="16" t="str">
        <x:v>Blocked</x:v>
      </x:c>
      <x:c r="F165" s="13" t="str">
        <x:v>P12</x:v>
      </x:c>
      <x:c r="G165" s="13" t="str">
        <x:v>P0</x:v>
      </x:c>
      <x:c r="H165" s="13" t="str">
        <x:v>Owner decision/access; Codex after unblock</x:v>
      </x:c>
      <x:c r="I165" s="13" t="str">
        <x:v>Versioned release config/gate examples, exact-digest checks and ownerApproved=false policy; incomplete gate test fails closed</x:v>
      </x:c>
      <x:c r="J165" s="13" t="str">
        <x:v>Owner must review actual business/domain/provider/merchant/prices/limits/retention configuration before release.</x:v>
      </x:c>
      <x:c r="K165" s="13" t="str">
        <x:v>Production config is versioned and every displayed commitment is implementable.</x:v>
      </x:c>
      <x:c r="L165" s="13" t="str">
        <x:v>27-41</x:v>
      </x:c>
      <x:c r="M165" s="13" t="str">
        <x:v>B02/B03/B04/B05/B08</x:v>
      </x:c>
      <x:c r="N165" s="14" t="d">
        <x:v>2026-10-22T00:00:00.000Z</x:v>
      </x:c>
    </x:row>
    <x:row r="166" ht="66" customHeight="1">
      <x:c r="A166" s="15" t="str">
        <x:v>REL-004</x:v>
      </x:c>
      <x:c r="B166" s="13" t="str">
        <x:v>Controlled worldwide production launch</x:v>
      </x:c>
      <x:c r="C166" s="13" t="str">
        <x:v>Launch and operations</x:v>
      </x:c>
      <x:c r="D166" s="13" t="str">
        <x:v>Production</x:v>
      </x:c>
      <x:c r="E166" s="16" t="str">
        <x:v>Blocked</x:v>
      </x:c>
      <x:c r="F166" s="13" t="str">
        <x:v>P12</x:v>
      </x:c>
      <x:c r="G166" s="13" t="str">
        <x:v>P0</x:v>
      </x:c>
      <x:c r="H166" s="13" t="str">
        <x:v>Owner decision/access; Codex after unblock</x:v>
      </x:c>
      <x:c r="I166" s="13" t="str">
        <x:v>Fail-closed release checker, scoped OIDC rollout/rollback source and country expansion acceptance procedure</x:v>
      </x:c>
      <x:c r="J166" s="13" t="str">
        <x:v>All measured release gates and owner approvals must pass before public AWS launch. No worldwide production exists.</x:v>
      </x:c>
      <x:c r="K166" s="13" t="str">
        <x:v>All release gates pass; observed errors, cost and latency stay below approved limits before expansion.</x:v>
      </x:c>
      <x:c r="L166" s="13" t="str">
        <x:v>Production requirement</x:v>
      </x:c>
      <x:c r="M166" s="13" t="str">
        <x:v>B02/B03/B04/B05/B08/B09</x:v>
      </x:c>
      <x:c r="N166" s="14" t="d">
        <x:v>2026-10-22T00:00:00.000Z</x:v>
      </x:c>
    </x:row>
    <x:row r="167" ht="66" customHeight="1">
      <x:c r="A167" s="15" t="str">
        <x:v>REL-005</x:v>
      </x:c>
      <x:c r="B167" s="13" t="str">
        <x:v>Support, incident response and on-call runbooks</x:v>
      </x:c>
      <x:c r="C167" s="13" t="str">
        <x:v>Launch and operations</x:v>
      </x:c>
      <x:c r="D167" s="13" t="str">
        <x:v>Production</x:v>
      </x:c>
      <x:c r="E167" s="16" t="str">
        <x:v>Partial</x:v>
      </x:c>
      <x:c r="F167" s="13" t="str">
        <x:v>P12</x:v>
      </x:c>
      <x:c r="G167" s="13" t="str">
        <x:v>P0</x:v>
      </x:c>
      <x:c r="H167" s="13" t="str">
        <x:v>Codex owns remaining engineering; owner supplies listed external gates</x:v>
      </x:c>
      <x:c r="I167" s="13" t="str">
        <x:v>ops/INCIDENTS.md: support/on-call, AI cost, runner drain, payments, data recovery and availability procedures</x:v>
      </x:c>
      <x:c r="J167" s="13" t="str">
        <x:v>Assign actual support/on-call contact; wire mailbox/alerts and perform an incident drill.</x:v>
      </x:c>
      <x:c r="K167" s="13" t="str">
        <x:v>Simulated incident reaches owner and runbook restores/restricts affected service.</x:v>
      </x:c>
      <x:c r="L167" s="13" t="str">
        <x:v>34-35; production requirement</x:v>
      </x:c>
      <x:c r="M167" s="13" t="str">
        <x:v>B02/B07/B08</x:v>
      </x:c>
      <x:c r="N167" s="14" t="d">
        <x:v>2026-10-22T00:00:00.000Z</x:v>
      </x:c>
    </x:row>
    <x:row r="168" ht="66" customHeight="1">
      <x:c r="A168" s="15" t="str">
        <x:v>REL-006</x:v>
      </x:c>
      <x:c r="B168" s="13" t="str">
        <x:v>Post-launch reconciliation and maintenance</x:v>
      </x:c>
      <x:c r="C168" s="13" t="str">
        <x:v>Launch and operations</x:v>
      </x:c>
      <x:c r="D168" s="13" t="str">
        <x:v>Production</x:v>
      </x:c>
      <x:c r="E168" s="16" t="str">
        <x:v>Partial</x:v>
      </x:c>
      <x:c r="F168" s="13" t="str">
        <x:v>P13</x:v>
      </x:c>
      <x:c r="G168" s="13" t="str">
        <x:v>P0</x:v>
      </x:c>
      <x:c r="H168" s="13" t="str">
        <x:v>Codex owns remaining engineering; owner supplies listed external gates</x:v>
      </x:c>
      <x:c r="I168" s="13" t="str">
        <x:v>Financial invariant query and local completed-run checks remain. Monthly grant boundaries now have explicit fixtures.</x:v>
      </x:c>
      <x:c r="J168" s="13" t="str">
        <x:v>Implement authoritative provider/merchant reconciliation and record actual post-launch exception resolution.</x:v>
      </x:c>
      <x:c r="K168" s="13" t="str">
        <x:v>First operation period reconciles provider spend, revenue events and allowances with documented exceptions.</x:v>
      </x:c>
      <x:c r="L168" s="13" t="str">
        <x:v>Production requirement</x:v>
      </x:c>
      <x:c r="M168" s="13" t="str">
        <x:v>B02/B03/B04</x:v>
      </x:c>
      <x:c r="N168" s="14" t="d">
        <x:v>2026-10-22T00:00:00.000Z</x:v>
      </x:c>
    </x:row>
    <x:row r="169" ht="66" customHeight="1">
      <x:c r="A169" s="15" t="str">
        <x:v>ENV-009</x:v>
      </x:c>
      <x:c r="B169" s="13" t="str">
        <x:v>Existing application dependencies and local checks</x:v>
      </x:c>
      <x:c r="C169" s="13" t="str">
        <x:v>External access and environment</x:v>
      </x:c>
      <x:c r="D169" s="13" t="str">
        <x:v>External</x:v>
      </x:c>
      <x:c r="E169" s="16" t="str">
        <x:v>Implemented</x:v>
      </x:c>
      <x:c r="F169" s="13" t="str">
        <x:v>P00</x:v>
      </x:c>
      <x:c r="G169" s="13" t="str">
        <x:v>P0</x:v>
      </x:c>
      <x:c r="H169" s="13" t="str">
        <x:v>Codex / CI</x:v>
      </x:c>
      <x:c r="I169" s="13" t="str">
        <x:v>Dependencies installed; Build03 root/API/infra typechecks,100 tests, regression, standalone and private hosting builds recorded.</x:v>
      </x:c>
      <x:c r="J169" s="13" t="str">
        <x:v>Fresh clean installation of the future AWS project remains to be verified; it is not currently an observed blocker.</x:v>
      </x:c>
      <x:c r="K169" s="13" t="str">
        <x:v>Existing checkout typechecks and meaningful local tests pass.</x:v>
      </x:c>
      <x:c r="L169" s="13" t="str">
        <x:v>Current source and test output</x:v>
      </x:c>
      <x:c r="M169" s="13" t="str"/>
      <x:c r="N169" s="14" t="d">
        <x:v>2026-10-22T00:00:00.000Z</x:v>
      </x:c>
    </x:row>
    <x:row r="170" ht="66" customHeight="1">
      <x:c r="A170" s="15" t="str">
        <x:v>REL-007</x:v>
      </x:c>
      <x:c r="B170" s="13" t="str">
        <x:v>Recurring implemented/partial/blocked/remaining report</x:v>
      </x:c>
      <x:c r="C170" s="13" t="str">
        <x:v>Launch and operations</x:v>
      </x:c>
      <x:c r="D170" s="13" t="str">
        <x:v>Delivery</x:v>
      </x:c>
      <x:c r="E170" s="16" t="str">
        <x:v>Implemented</x:v>
      </x:c>
      <x:c r="F170" s="13" t="str">
        <x:v>P00</x:v>
      </x:c>
      <x:c r="G170" s="13" t="str">
        <x:v>P0</x:v>
      </x:c>
      <x:c r="H170" s="13" t="str">
        <x:v>Owner / Engineering</x:v>
      </x:c>
      <x:c r="I170" s="13" t="str">
        <x:v>This planning package establishes stable task IDs and an evidence-based baseline</x:v>
      </x:c>
      <x:c r="J170" s="13" t="str">
        <x:v>Every future build must update the same IDs with code changes, verification, blockers and next actions.</x:v>
      </x:c>
      <x:c r="K170" s="13" t="str">
        <x:v>Each build includes cumulative source snapshot, status data, delta report and truthful test evidence.</x:v>
      </x:c>
      <x:c r="L170" s="13" t="str">
        <x:v>User reporting requirement</x:v>
      </x:c>
      <x:c r="M170" s="13" t="str"/>
      <x:c r="N170" s="14" t="d">
        <x:v>2026-10-22T00:00:00.000Z</x:v>
      </x:c>
    </x:row>
    <x:row r="171" ht="66" customHeight="1">
      <x:c r="A171" s="15" t="str">
        <x:v>API-001</x:v>
      </x:c>
      <x:c r="B171" s="13" t="str">
        <x:v>Portable Node API and health/readiness endpoints</x:v>
      </x:c>
      <x:c r="C171" s="13" t="str">
        <x:v>Portable backend contracts</x:v>
      </x:c>
      <x:c r="D171" s="13" t="str">
        <x:v>Production</x:v>
      </x:c>
      <x:c r="E171" s="16" t="str">
        <x:v>Implemented</x:v>
      </x:c>
      <x:c r="F171" s="13" t="str">
        <x:v>P01</x:v>
      </x:c>
      <x:c r="G171" s="13" t="str">
        <x:v>P0</x:v>
      </x:c>
      <x:c r="H171" s="13" t="str">
        <x:v>Codex / Engineering</x:v>
      </x:c>
      <x:c r="I171" s="13" t="str">
        <x:v>BUILD-01: Portable Fastify Node service with real loopback HTTP proof and database/outbox readiness checks. Failure responses omit connection details.</x:v>
      </x:c>
      <x:c r="J171" s="13" t="str">
        <x:v>Deploy the portable service after production adapters/gates. Existing Sites preview is not wired to it.</x:v>
      </x:c>
      <x:c r="K171" s="13" t="str">
        <x:v>Runs outside Workers; readiness reflects required DB/queue state without leaking secrets.</x:v>
      </x:c>
      <x:c r="L171" s="13" t="str">
        <x:v>worker/index.ts;lib/site-api.ts</x:v>
      </x:c>
      <x:c r="M171" s="13" t="str"/>
      <x:c r="N171" s="14" t="d">
        <x:v>2026-10-22T00:00:00.000Z</x:v>
      </x:c>
    </x:row>
    <x:row r="172" ht="66" customHeight="1">
      <x:c r="A172" s="15" t="str">
        <x:v>API-002</x:v>
      </x:c>
      <x:c r="B172" s="13" t="str">
        <x:v>Validated request schemas and safe errors</x:v>
      </x:c>
      <x:c r="C172" s="13" t="str">
        <x:v>Portable backend contracts</x:v>
      </x:c>
      <x:c r="D172" s="13" t="str">
        <x:v>Production</x:v>
      </x:c>
      <x:c r="E172" s="16" t="str">
        <x:v>Implemented</x:v>
      </x:c>
      <x:c r="F172" s="13" t="str">
        <x:v>P01</x:v>
      </x:c>
      <x:c r="G172" s="13" t="str">
        <x:v>P0</x:v>
      </x:c>
      <x:c r="H172" s="13" t="str">
        <x:v>Codex / Engineering</x:v>
      </x:c>
      <x:c r="I172" s="13" t="str">
        <x:v>BUILD-01: Strict JSON schemas, body/context bounds, safe error envelopes and rejection of client role/model/owner injection. Portable CSRF and forged-header tests pass.</x:v>
      </x:c>
      <x:c r="J172" s="13" t="str">
        <x:v>Continue full route response schemas in API-003 and staging/browser security checks in SEC-003.</x:v>
      </x:c>
      <x:c r="K172" s="13" t="str">
        <x:v>Existing invalid input, role injection, oversized context and provider error tests pass.</x:v>
      </x:c>
      <x:c r="L172" s="13" t="str">
        <x:v>tests/tools.test.mjs</x:v>
      </x:c>
      <x:c r="M172" s="13" t="str"/>
      <x:c r="N172" s="14" t="d">
        <x:v>2026-10-22T00:00:00.000Z</x:v>
      </x:c>
    </x:row>
    <x:row r="173" ht="66" customHeight="1">
      <x:c r="A173" s="15" t="str">
        <x:v>API-004</x:v>
      </x:c>
      <x:c r="B173" s="13" t="str">
        <x:v>Idempotent tool dispatch and cancellation</x:v>
      </x:c>
      <x:c r="C173" s="13" t="str">
        <x:v>Portable backend contracts</x:v>
      </x:c>
      <x:c r="D173" s="13" t="str">
        <x:v>Production</x:v>
      </x:c>
      <x:c r="E173" s="16" t="str">
        <x:v>Implemented</x:v>
      </x:c>
      <x:c r="F173" s="13" t="str">
        <x:v>P01</x:v>
      </x:c>
      <x:c r="G173" s="13" t="str">
        <x:v>P0</x:v>
      </x:c>
      <x:c r="H173" s="13" t="str">
        <x:v>Codex / Engineering</x:v>
      </x:c>
      <x:c r="I173" s="13" t="str">
        <x:v>BUILD-01: Workspace-scoped idempotency key plus canonical request hash. Atomic reservation/dispatch outbox, cancellation and conservative uncertain-outcome fencing pass with provider doubles.</x:v>
      </x:c>
      <x:c r="J173" s="13" t="str">
        <x:v>Live provider adapters/reconciliation are separate blocked/incomplete AI integration work B03. Uncertain holds require confirmed outcome before resolution.</x:v>
      </x:c>
      <x:c r="K173" s="13" t="str">
        <x:v>A retried same operation produces one logical run and at most one settled allowance charge.</x:v>
      </x:c>
      <x:c r="L173" s="13" t="str">
        <x:v>Production requirement</x:v>
      </x:c>
      <x:c r="M173" s="13" t="str"/>
      <x:c r="N173" s="14" t="d">
        <x:v>2026-10-22T00:00:00.000Z</x:v>
      </x:c>
    </x:row>
    <x:row r="174" ht="66" customHeight="1">
      <x:c r="A174" s="15" t="str">
        <x:v>API-005</x:v>
      </x:c>
      <x:c r="B174" s="13" t="str">
        <x:v>Metadata-only logs and distributed tracing</x:v>
      </x:c>
      <x:c r="C174" s="13" t="str">
        <x:v>Portable backend contracts</x:v>
      </x:c>
      <x:c r="D174" s="13" t="str">
        <x:v>Production</x:v>
      </x:c>
      <x:c r="E174" s="16" t="str">
        <x:v>Implemented</x:v>
      </x:c>
      <x:c r="F174" s="13" t="str">
        <x:v>P01</x:v>
      </x:c>
      <x:c r="G174" s="13" t="str">
        <x:v>P0</x:v>
      </x:c>
      <x:c r="H174" s="13" t="str">
        <x:v>Codex / Engineering</x:v>
      </x:c>
      <x:c r="I174" s="13" t="str">
        <x:v>BUILD-01: Whitelisted metadata logs and W3C trace propagation across actual API request, job and provider-double failure. Raw source, tokens and provider errors are absent from logs.</x:v>
      </x:c>
      <x:c r="J174" s="13" t="str">
        <x:v>CloudWatch/OTel export and production alerting remain AWS observability work.</x:v>
      </x:c>
      <x:c r="K174" s="13" t="str">
        <x:v>Can trace a failed run across API/job/provider without recording raw code or credentials.</x:v>
      </x:c>
      <x:c r="L174" s="13" t="str">
        <x:v>Production requirement</x:v>
      </x:c>
      <x:c r="M174" s="13" t="str"/>
      <x:c r="N174" s="14" t="d">
        <x:v>2026-10-22T00:00:00.000Z</x:v>
      </x:c>
    </x:row>
    <x:row r="175" ht="66" customHeight="1">
      <x:c r="A175" s="15" t="str">
        <x:v>API-007</x:v>
      </x:c>
      <x:c r="B175" s="13" t="str">
        <x:v>Scheduled cleanup and reconciliation tasks</x:v>
      </x:c>
      <x:c r="C175" s="13" t="str">
        <x:v>Portable backend contracts</x:v>
      </x:c>
      <x:c r="D175" s="13" t="str">
        <x:v>Production</x:v>
      </x:c>
      <x:c r="E175" s="16" t="str">
        <x:v>Implemented</x:v>
      </x:c>
      <x:c r="F175" s="13" t="str">
        <x:v>P01</x:v>
      </x:c>
      <x:c r="G175" s="13" t="str">
        <x:v>P0</x:v>
      </x:c>
      <x:c r="H175" s="13" t="str">
        <x:v>Codex / Engineering</x:v>
      </x:c>
      <x:c r="I175" s="13" t="str">
        <x:v>BUILD-01: Hourly deduplicated cleanup/reconciliation jobs, lease/retry observability and safely replayable export/deletion handlers. Expired unsent holds release; uncertain sent holds remain.</x:v>
      </x:c>
      <x:c r="J175" s="13" t="str">
        <x:v>Production scheduler/worker deployment and alerting remain AWS work B02.</x:v>
      </x:c>
      <x:c r="K175" s="13" t="str">
        <x:v>Scheduled jobs are idempotent, observable and can be safely replayed.</x:v>
      </x:c>
      <x:c r="L175" s="13" t="str">
        <x:v>Production requirement</x:v>
      </x:c>
      <x:c r="M175" s="13" t="str"/>
      <x:c r="N175" s="14" t="d">
        <x:v>2026-10-22T00:00:00.000Z</x:v>
      </x:c>
    </x:row>
    <x:row r="176" ht="68" customHeight="1">
      <x:c r="A176" s="15" t="str">
        <x:v>AUT-006</x:v>
      </x:c>
      <x:c r="B176" s="13" t="str">
        <x:v>Secure sessions and linked identities</x:v>
      </x:c>
      <x:c r="C176" s="13" t="str">
        <x:v>Authentication and accounts</x:v>
      </x:c>
      <x:c r="D176" s="13" t="str">
        <x:v>Reference</x:v>
      </x:c>
      <x:c r="E176" s="16" t="str">
        <x:v>Implemented</x:v>
      </x:c>
      <x:c r="F176" s="13" t="str">
        <x:v>P02</x:v>
      </x:c>
      <x:c r="G176" s="13" t="str">
        <x:v>P0</x:v>
      </x:c>
      <x:c r="H176" s="13" t="str">
        <x:v>Codex / Engineering</x:v>
      </x:c>
      <x:c r="I176" s="13" t="str">
        <x:v>BUILD-01: Hashed opaque sessions, CSRF binding, revocation/expiry, fixation rotation and explicit fresh-session identity linking. Matching email never silently links. Forged Sites headers are ignored.</x:v>
      </x:c>
      <x:c r="J176" s="13" t="str">
        <x:v>Connect OAuth/OTP verification adapters and session-cookie issuance in AUT-001..004. Production account flow is not live.</x:v>
      </x:c>
      <x:c r="K176" s="13" t="str">
        <x:v>CSRF, session fixation, replay and revoked-session access tests fail safely.</x:v>
      </x:c>
      <x:c r="L176" s="13" t="str">
        <x:v>46; production requirement</x:v>
      </x:c>
      <x:c r="M176" s="13" t="str"/>
      <x:c r="N176" s="14" t="d">
        <x:v>2026-10-22T00:00:00.000Z</x:v>
      </x:c>
    </x:row>
    <x:row r="177" ht="68" customHeight="1">
      <x:c r="A177" s="15" t="str">
        <x:v>DAT-001</x:v>
      </x:c>
      <x:c r="B177" s="13" t="str">
        <x:v>PostgreSQL schema, migrations and constraints</x:v>
      </x:c>
      <x:c r="C177" s="13" t="str">
        <x:v>Database and durable jobs</x:v>
      </x:c>
      <x:c r="D177" s="13" t="str">
        <x:v>Production</x:v>
      </x:c>
      <x:c r="E177" s="16" t="str">
        <x:v>Implemented</x:v>
      </x:c>
      <x:c r="F177" s="13" t="str">
        <x:v>P02</x:v>
      </x:c>
      <x:c r="G177" s="13" t="str">
        <x:v>P0</x:v>
      </x:c>
      <x:c r="H177" s="13" t="str">
        <x:v>Codex / Engineering</x:v>
      </x:c>
      <x:c r="I177" s="13" t="str">
        <x:v>BUILD-01: Two forward-only migrations, advisory migration lock, historical checksums, ownership/business-key constraints. Empty database, rerun, changed checksum and prior-release upgrade fixtures pass.</x:v>
      </x:c>
      <x:c r="J177" s="13" t="str">
        <x:v>Native PostgreSQL/RDS migration verification is tracked as B01/B02 before release.</x:v>
      </x:c>
      <x:c r="K177" s="13" t="str">
        <x:v>Empty DB and prior release migrate successfully; invalid ownership and duplicate business keys are rejected.</x:v>
      </x:c>
      <x:c r="L177" s="13" t="str">
        <x:v>Current manifest; production requirement</x:v>
      </x:c>
      <x:c r="M177" s="13" t="str"/>
      <x:c r="N177" s="14" t="d">
        <x:v>2026-10-22T00:00:00.000Z</x:v>
      </x:c>
    </x:row>
    <x:row r="178" ht="66" customHeight="1">
      <x:c r="A178" s="15" t="str">
        <x:v>DAT-002</x:v>
      </x:c>
      <x:c r="B178" s="13" t="str">
        <x:v>Users, identities, sessions and personal workspaces</x:v>
      </x:c>
      <x:c r="C178" s="13" t="str">
        <x:v>Database and durable jobs</x:v>
      </x:c>
      <x:c r="D178" s="13" t="str">
        <x:v>Production</x:v>
      </x:c>
      <x:c r="E178" s="16" t="str">
        <x:v>Implemented</x:v>
      </x:c>
      <x:c r="F178" s="13" t="str">
        <x:v>P02</x:v>
      </x:c>
      <x:c r="G178" s="13" t="str">
        <x:v>P0</x:v>
      </x:c>
      <x:c r="H178" s="13" t="str">
        <x:v>Codex / Engineering</x:v>
      </x:c>
      <x:c r="I178" s="13" t="str">
        <x:v>BUILD-01: Persistent users, verified identities, hashed sessions and one personal workspace per account. Composite tenant keys and two-account negative fixtures pass.</x:v>
      </x:c>
      <x:c r="J178" s="13" t="str">
        <x:v>Wire public identity adapters and the existing frontend in AUT-001..004/WRK tasks.</x:v>
      </x:c>
      <x:c r="K178" s="13" t="str">
        <x:v>Two accounts cannot read/update each others workspace records.</x:v>
      </x:c>
      <x:c r="L178" s="13" t="str">
        <x:v>46;V1</x:v>
      </x:c>
      <x:c r="M178" s="13" t="str"/>
      <x:c r="N178" s="14" t="d">
        <x:v>2026-10-22T00:00:00.000Z</x:v>
      </x:c>
    </x:row>
    <x:row r="179" ht="66" customHeight="1">
      <x:c r="A179" s="15" t="str">
        <x:v>DAT-003</x:v>
      </x:c>
      <x:c r="B179" s="13" t="str">
        <x:v>Tool runs, result versions, notes and chats</x:v>
      </x:c>
      <x:c r="C179" s="13" t="str">
        <x:v>Database and durable jobs</x:v>
      </x:c>
      <x:c r="D179" s="13" t="str">
        <x:v>Production</x:v>
      </x:c>
      <x:c r="E179" s="16" t="str">
        <x:v>Implemented</x:v>
      </x:c>
      <x:c r="F179" s="13" t="str">
        <x:v>P02</x:v>
      </x:c>
      <x:c r="G179" s="13" t="str">
        <x:v>P0</x:v>
      </x:c>
      <x:c r="H179" s="13" t="str">
        <x:v>Codex / Engineering</x:v>
      </x:c>
      <x:c r="I179" s="13" t="str">
        <x:v>BUILD-01: Persistent runs, versioned results, optimistic notes, threads/messages. Completed/failed/cancelled runs, notes and chat restore after PGlite restart.</x:v>
      </x:c>
      <x:c r="J179" s="13" t="str">
        <x:v>Frontend persistence migration and live chat streaming remain separate work.</x:v>
      </x:c>
      <x:c r="K179" s="13" t="str">
        <x:v>Completed/failed/cancelled runs and notes restore consistently after process restart.</x:v>
      </x:c>
      <x:c r="L179" s="13" t="str">
        <x:v>V1; advertised</x:v>
      </x:c>
      <x:c r="M179" s="13" t="str"/>
      <x:c r="N179" s="14" t="d">
        <x:v>2026-10-22T00:00:00.000Z</x:v>
      </x:c>
    </x:row>
    <x:row r="180" ht="66" customHeight="1">
      <x:c r="A180" s="15" t="str">
        <x:v>DAT-007</x:v>
      </x:c>
      <x:c r="B180" s="13" t="str">
        <x:v>Outbox, job retries and dead-letter processing</x:v>
      </x:c>
      <x:c r="C180" s="13" t="str">
        <x:v>Database and durable jobs</x:v>
      </x:c>
      <x:c r="D180" s="13" t="str">
        <x:v>Production</x:v>
      </x:c>
      <x:c r="E180" s="16" t="str">
        <x:v>Implemented</x:v>
      </x:c>
      <x:c r="F180" s="13" t="str">
        <x:v>P02</x:v>
      </x:c>
      <x:c r="G180" s="13" t="str">
        <x:v>P0</x:v>
      </x:c>
      <x:c r="H180" s="13" t="str">
        <x:v>Codex / Engineering</x:v>
      </x:c>
      <x:c r="I180" s="13" t="str">
        <x:v>BUILD-01: Transactional outbox commits with run/hold. Durable leases, retries, bounded backoff, stale-ack fencing and inspectable dead letters pass.</x:v>
      </x:c>
      <x:c r="J180" s="13" t="str">
        <x:v>Native concurrent worker contention and production queue operations remain release verification gates B01/B02.</x:v>
      </x:c>
      <x:c r="K180" s="13" t="str">
        <x:v>Commit-to-queue failure does not lose work; duplicate delivery is safe and failures are inspectable.</x:v>
      </x:c>
      <x:c r="L180" s="13" t="str">
        <x:v>Production requirement</x:v>
      </x:c>
      <x:c r="M180" s="13" t="str"/>
      <x:c r="N180" s="14" t="d">
        <x:v>2026-10-22T00:00:00.000Z</x:v>
      </x:c>
    </x:row>
    <x:row r="181" ht="66" customHeight="1">
      <x:c r="A181" s="15" t="str">
        <x:v>DAT-008</x:v>
      </x:c>
      <x:c r="B181" s="13" t="str">
        <x:v>Retention, deletion and account export jobs</x:v>
      </x:c>
      <x:c r="C181" s="13" t="str">
        <x:v>Database and durable jobs</x:v>
      </x:c>
      <x:c r="D181" s="13" t="str">
        <x:v>Production</x:v>
      </x:c>
      <x:c r="E181" s="16" t="str">
        <x:v>Implemented</x:v>
      </x:c>
      <x:c r="F181" s="13" t="str">
        <x:v>P02</x:v>
      </x:c>
      <x:c r="G181" s="13" t="str">
        <x:v>P0</x:v>
      </x:c>
      <x:c r="H181" s="13" t="str">
        <x:v>Codex / Engineering</x:v>
      </x:c>
      <x:c r="I181" s="13" t="str">
        <x:v>BUILD-01: Durable export/deletion/object cleanup jobs. Export ownership, immediate access revocation, content redaction, staging cleanup and retention replay fixtures pass.</x:v>
      </x:c>
      <x:c r="J181" s="13" t="str">
        <x:v>Approve retention policy; integrate merchant cancellation, provider deletion and backup expiry before production. Standalone chat retention remains open.</x:v>
      </x:c>
      <x:c r="K181" s="13" t="str">
        <x:v>Expired data is cleaned and exports contain only authorized user data.</x:v>
      </x:c>
      <x:c r="L181" s="13" t="str">
        <x:v>37-41</x:v>
      </x:c>
      <x:c r="M181" s="13" t="str"/>
      <x:c r="N181" s="14" t="d">
        <x:v>2026-10-22T00:00:00.000Z</x:v>
      </x:c>
    </x:row>
    <x:row r="182" ht="66" customHeight="1">
      <x:c r="A182" s="15" t="str">
        <x:v>EDT-001</x:v>
      </x:c>
      <x:c r="B182" s="13" t="str">
        <x:v>Code input and additional instructions</x:v>
      </x:c>
      <x:c r="C182" s="13" t="str">
        <x:v>Shared editor and result controls</x:v>
      </x:c>
      <x:c r="D182" s="13" t="str">
        <x:v>Reference</x:v>
      </x:c>
      <x:c r="E182" s="16" t="str">
        <x:v>Implemented</x:v>
      </x:c>
      <x:c r="F182" s="13" t="str">
        <x:v>P03</x:v>
      </x:c>
      <x:c r="G182" s="13" t="str">
        <x:v>P0</x:v>
      </x:c>
      <x:c r="H182" s="13" t="str">
        <x:v>Frontend</x:v>
      </x:c>
      <x:c r="I182" s="13" t="str">
        <x:v>QA21; controlled textareas with input and instruction bounds</x:v>
      </x:c>
      <x:c r="J182" s="13" t="str">
        <x:v>Preserve editing state in the portable app.</x:v>
      </x:c>
      <x:c r="K182" s="13" t="str">
        <x:v>Typing, paste, clear and instructions retain the selected languages and tool.</x:v>
      </x:c>
      <x:c r="L182" s="13" t="str">
        <x:v>06-20,50-57</x:v>
      </x:c>
      <x:c r="M182" s="13" t="str"/>
      <x:c r="N182" s="14" t="d">
        <x:v>2026-10-22T00:00:00.000Z</x:v>
      </x:c>
    </x:row>
    <x:row r="183" ht="66" customHeight="1">
      <x:c r="A183" s="15" t="str">
        <x:v>EDT-002</x:v>
      </x:c>
      <x:c r="B183" s="13" t="str">
        <x:v>Text/source file input</x:v>
      </x:c>
      <x:c r="C183" s="13" t="str">
        <x:v>Shared editor and result controls</x:v>
      </x:c>
      <x:c r="D183" s="13" t="str">
        <x:v>Reference</x:v>
      </x:c>
      <x:c r="E183" s="16" t="str">
        <x:v>Implemented</x:v>
      </x:c>
      <x:c r="F183" s="13" t="str">
        <x:v>P03</x:v>
      </x:c>
      <x:c r="G183" s="13" t="str">
        <x:v>P0</x:v>
      </x:c>
      <x:c r="H183" s="13" t="str">
        <x:v>Frontend</x:v>
      </x:c>
      <x:c r="I183" s="13" t="str">
        <x:v>QA21 upload; TEST22 language detection; uploadFiles validates size and binary NULs</x:v>
      </x:c>
      <x:c r="J183" s="13" t="str">
        <x:v>Cloud upload support is tracked separately in FIL tasks.</x:v>
      </x:c>
      <x:c r="K183" s="13" t="str">
        <x:v>Supported local text file opens in source editor; oversized/binary inputs receive errors.</x:v>
      </x:c>
      <x:c r="L183" s="13" t="str">
        <x:v>06-24</x:v>
      </x:c>
      <x:c r="M183" s="13" t="str"/>
      <x:c r="N183" s="14" t="d">
        <x:v>2026-10-22T00:00:00.000Z</x:v>
      </x:c>
    </x:row>
    <x:row r="184" ht="66" customHeight="1">
      <x:c r="A184" s="15" t="str">
        <x:v>EDT-006</x:v>
      </x:c>
      <x:c r="B184" s="13" t="str">
        <x:v>Code and execution-output tabs</x:v>
      </x:c>
      <x:c r="C184" s="13" t="str">
        <x:v>Shared editor and result controls</x:v>
      </x:c>
      <x:c r="D184" s="13" t="str">
        <x:v>Reference</x:v>
      </x:c>
      <x:c r="E184" s="16" t="str">
        <x:v>Implemented</x:v>
      </x:c>
      <x:c r="F184" s="13" t="str">
        <x:v>P03</x:v>
      </x:c>
      <x:c r="G184" s="13" t="str">
        <x:v>P0</x:v>
      </x:c>
      <x:c r="H184" s="13" t="str">
        <x:v>Frontend</x:v>
      </x:c>
      <x:c r="I184" s="13" t="str">
        <x:v>QA21: free converter example executes and returns 55</x:v>
      </x:c>
      <x:c r="J184" s="13" t="str">
        <x:v>Five-language remote execution integration is in RUN.</x:v>
      </x:c>
      <x:c r="K184" s="13" t="str">
        <x:v>JavaScript example switches between code and output without losing either result.</x:v>
      </x:c>
      <x:c r="L184" s="13" t="str">
        <x:v>09-10,50-52</x:v>
      </x:c>
      <x:c r="M184" s="13" t="str"/>
      <x:c r="N184" s="14" t="d">
        <x:v>2026-10-22T00:00:00.000Z</x:v>
      </x:c>
    </x:row>
    <x:row r="185" ht="66" customHeight="1">
      <x:c r="A185" s="15" t="str">
        <x:v>WRK-001</x:v>
      </x:c>
      <x:c r="B185" s="13" t="str">
        <x:v>Dark workspace, sidebar and eight-tool navigation</x:v>
      </x:c>
      <x:c r="C185" s="13" t="str">
        <x:v>Signed-in workspace</x:v>
      </x:c>
      <x:c r="D185" s="13" t="str">
        <x:v>Reference</x:v>
      </x:c>
      <x:c r="E185" s="16" t="str">
        <x:v>Implemented</x:v>
      </x:c>
      <x:c r="F185" s="13" t="str">
        <x:v>P03</x:v>
      </x:c>
      <x:c r="G185" s="13" t="str">
        <x:v>P0</x:v>
      </x:c>
      <x:c r="H185" s="13" t="str">
        <x:v>Frontend</x:v>
      </x:c>
      <x:c r="I185" s="13" t="str">
        <x:v>QA21; signed-workspace.css and FutureApp</x:v>
      </x:c>
      <x:c r="J185" s="13" t="str">
        <x:v>Preserve keyboard and responsive behavior during port.</x:v>
      </x:c>
      <x:c r="K185" s="13" t="str">
        <x:v>All tool navigation and dark workspace areas render with FutureRobotic AI branding.</x:v>
      </x:c>
      <x:c r="L185" s="13" t="str">
        <x:v>05; V1</x:v>
      </x:c>
      <x:c r="M185" s="13" t="str"/>
      <x:c r="N185" s="14" t="d">
        <x:v>2026-10-22T00:00:00.000Z</x:v>
      </x:c>
    </x:row>
    <x:row r="186" ht="66" customHeight="1">
      <x:c r="A186" s="15" t="str">
        <x:v>WRK-002</x:v>
      </x:c>
      <x:c r="B186" s="13" t="str">
        <x:v>Sidebar collapse and panel layout controls</x:v>
      </x:c>
      <x:c r="C186" s="13" t="str">
        <x:v>Signed-in workspace</x:v>
      </x:c>
      <x:c r="D186" s="13" t="str">
        <x:v>Reference</x:v>
      </x:c>
      <x:c r="E186" s="16" t="str">
        <x:v>Implemented</x:v>
      </x:c>
      <x:c r="F186" s="13" t="str">
        <x:v>P03</x:v>
      </x:c>
      <x:c r="G186" s="13" t="str">
        <x:v>P0</x:v>
      </x:c>
      <x:c r="H186" s="13" t="str">
        <x:v>Frontend</x:v>
      </x:c>
      <x:c r="I186" s="13" t="str">
        <x:v>QA21 verified collapse, assistant close/reopen and hide-main-tool</x:v>
      </x:c>
      <x:c r="J186" s="13" t="str">
        <x:v>Add viewport regression coverage.</x:v>
      </x:c>
      <x:c r="K186" s="13" t="str">
        <x:v>Sidebar/main/assistant toggles recover a usable layout in every allowed state.</x:v>
      </x:c>
      <x:c r="L186" s="13" t="str">
        <x:v>V1</x:v>
      </x:c>
      <x:c r="M186" s="13" t="str"/>
      <x:c r="N186" s="14" t="d">
        <x:v>2026-10-22T00:00:00.000Z</x:v>
      </x:c>
    </x:row>
    <x:row r="187" ht="66" customHeight="1">
      <x:c r="A187" s="15" t="str">
        <x:v>CHT-001</x:v>
      </x:c>
      <x:c r="B187" s="13" t="str">
        <x:v>Right-hand assistant welcome and quick prompts</x:v>
      </x:c>
      <x:c r="C187" s="13" t="str">
        <x:v>Right-side AI chatbot</x:v>
      </x:c>
      <x:c r="D187" s="13" t="str">
        <x:v>Reference</x:v>
      </x:c>
      <x:c r="E187" s="16" t="str">
        <x:v>Implemented</x:v>
      </x:c>
      <x:c r="F187" s="13" t="str">
        <x:v>P04</x:v>
      </x:c>
      <x:c r="G187" s="13" t="str">
        <x:v>P0</x:v>
      </x:c>
      <x:c r="H187" s="13" t="str">
        <x:v>Backend / Frontend</x:v>
      </x:c>
      <x:c r="I187" s="13" t="str">
        <x:v>QA21; AssistantPanel controls and local guide verified</x:v>
      </x:c>
      <x:c r="J187" s="13" t="str">
        <x:v>Preserve interface while replacing preview provider path.</x:v>
      </x:c>
      <x:c r="K187" s="13" t="str">
        <x:v>Welcome, Add Comments, Improve Results and Debug prompts remain accessible.</x:v>
      </x:c>
      <x:c r="L187" s="13" t="str">
        <x:v>04; V1</x:v>
      </x:c>
      <x:c r="M187" s="13" t="str"/>
      <x:c r="N187" s="14" t="d">
        <x:v>2026-10-22T00:00:00.000Z</x:v>
      </x:c>
    </x:row>
    <x:row r="188" ht="66" customHeight="1">
      <x:c r="A188" s="15" t="str">
        <x:v>TOL-008</x:v>
      </x:c>
      <x:c r="B188" s="13" t="str">
        <x:v>Local comment removal for supported language families</x:v>
      </x:c>
      <x:c r="C188" s="13" t="str">
        <x:v>AI coding tools</x:v>
      </x:c>
      <x:c r="D188" s="13" t="str">
        <x:v>Reference</x:v>
      </x:c>
      <x:c r="E188" s="16" t="str">
        <x:v>Implemented</x:v>
      </x:c>
      <x:c r="F188" s="13" t="str">
        <x:v>P04</x:v>
      </x:c>
      <x:c r="G188" s="13" t="str">
        <x:v>P0</x:v>
      </x:c>
      <x:c r="H188" s="13" t="str">
        <x:v>Backend / Frontend</x:v>
      </x:c>
      <x:c r="I188" s="13" t="str">
        <x:v>TEST22 covers quoted strings, SQL quoting, shebangs and JS regex examples</x:v>
      </x:c>
      <x:c r="J188" s="13" t="str">
        <x:v>Broader language coverage and parser fidelity are separate tasks.</x:v>
      </x:c>
      <x:c r="K188" s="13" t="str">
        <x:v>Existing supported-family fixtures preserve strings while removing comments.</x:v>
      </x:c>
      <x:c r="L188" s="13" t="str">
        <x:v>19-20,55</x:v>
      </x:c>
      <x:c r="M188" s="13" t="str"/>
      <x:c r="N188" s="14" t="d">
        <x:v>2026-10-22T00:00:00.000Z</x:v>
      </x:c>
    </x:row>
    <x:row r="189" ht="66" customHeight="1">
      <x:c r="A189" s="15" t="str">
        <x:v>FIL-001</x:v>
      </x:c>
      <x:c r="B189" s="13" t="str">
        <x:v>Local file list, search, open and delete</x:v>
      </x:c>
      <x:c r="C189" s="13" t="str">
        <x:v>Files and context</x:v>
      </x:c>
      <x:c r="D189" s="13" t="str">
        <x:v>Reference</x:v>
      </x:c>
      <x:c r="E189" s="16" t="str">
        <x:v>Implemented</x:v>
      </x:c>
      <x:c r="F189" s="13" t="str">
        <x:v>P05</x:v>
      </x:c>
      <x:c r="G189" s="13" t="str">
        <x:v>P0</x:v>
      </x:c>
      <x:c r="H189" s="13" t="str">
        <x:v>Backend / Frontend</x:v>
      </x:c>
      <x:c r="I189" s="13" t="str">
        <x:v>QA21; local file management in FutureApp</x:v>
      </x:c>
      <x:c r="J189" s="13" t="str">
        <x:v>Keep local mode available after cloud mode is added.</x:v>
      </x:c>
      <x:c r="K189" s="13" t="str">
        <x:v>Supported file can be listed, searched, opened and removed within the browser limits.</x:v>
      </x:c>
      <x:c r="L189" s="13" t="str">
        <x:v>05; V1</x:v>
      </x:c>
      <x:c r="M189" s="13" t="str"/>
      <x:c r="N189" s="14" t="d">
        <x:v>2026-10-22T00:00:00.000Z</x:v>
      </x:c>
    </x:row>
    <x:row r="190" ht="66" customHeight="1">
      <x:c r="A190" s="15" t="str">
        <x:v>HIS-001</x:v>
      </x:c>
      <x:c r="B190" s="13" t="str">
        <x:v>Browser history list, search/filter and restore</x:v>
      </x:c>
      <x:c r="C190" s="13" t="str">
        <x:v>History and privacy preferences</x:v>
      </x:c>
      <x:c r="D190" s="13" t="str">
        <x:v>Reference</x:v>
      </x:c>
      <x:c r="E190" s="16" t="str">
        <x:v>Implemented</x:v>
      </x:c>
      <x:c r="F190" s="13" t="str">
        <x:v>P05</x:v>
      </x:c>
      <x:c r="G190" s="13" t="str">
        <x:v>P0</x:v>
      </x:c>
      <x:c r="H190" s="13" t="str">
        <x:v>Backend / Frontend</x:v>
      </x:c>
      <x:c r="I190" s="13" t="str">
        <x:v>QA21 history; local 30-result list in source</x:v>
      </x:c>
      <x:c r="J190" s="13" t="str">
        <x:v>Keep local behavior and add regression fixtures.</x:v>
      </x:c>
      <x:c r="K190" s="13" t="str">
        <x:v>A saved result restores correct tool, languages, source and output.</x:v>
      </x:c>
      <x:c r="L190" s="13" t="str">
        <x:v>05; V1</x:v>
      </x:c>
      <x:c r="M190" s="13" t="str"/>
      <x:c r="N190" s="14" t="d">
        <x:v>2026-10-22T00:00:00.000Z</x:v>
      </x:c>
    </x:row>
    <x:row r="191" ht="66" customHeight="1">
      <x:c r="A191" s="15" t="str">
        <x:v>HIS-002</x:v>
      </x:c>
      <x:c r="B191" s="13" t="str">
        <x:v>History JSON export and individual deletion</x:v>
      </x:c>
      <x:c r="C191" s="13" t="str">
        <x:v>History and privacy preferences</x:v>
      </x:c>
      <x:c r="D191" s="13" t="str">
        <x:v>Reference</x:v>
      </x:c>
      <x:c r="E191" s="16" t="str">
        <x:v>Implemented</x:v>
      </x:c>
      <x:c r="F191" s="13" t="str">
        <x:v>P05</x:v>
      </x:c>
      <x:c r="G191" s="13" t="str">
        <x:v>P0</x:v>
      </x:c>
      <x:c r="H191" s="13" t="str">
        <x:v>Backend / Frontend</x:v>
      </x:c>
      <x:c r="I191" s="13" t="str">
        <x:v>Source handlers; local history data structures</x:v>
      </x:c>
      <x:c r="J191" s="13" t="str">
        <x:v>Verify downloads in an unconstrained browser as part of release QA.</x:v>
      </x:c>
      <x:c r="K191" s="13" t="str">
        <x:v>Export contains only local account data; delete removes the intended item.</x:v>
      </x:c>
      <x:c r="L191" s="13" t="str">
        <x:v>33,37; advertised</x:v>
      </x:c>
      <x:c r="M191" s="13" t="str"/>
      <x:c r="N191" s="14" t="d">
        <x:v>2026-10-22T00:00:00.000Z</x:v>
      </x:c>
    </x:row>
    <x:row r="192" ht="66" customHeight="1">
      <x:c r="A192" s="15" t="str">
        <x:v>PDF-001</x:v>
      </x:c>
      <x:c r="B192" s="13" t="str">
        <x:v>Basic multi-page PDF export</x:v>
      </x:c>
      <x:c r="C192" s="13" t="str">
        <x:v>Code-to-PDF</x:v>
      </x:c>
      <x:c r="D192" s="13" t="str">
        <x:v>Reference</x:v>
      </x:c>
      <x:c r="E192" s="16" t="str">
        <x:v>Implemented</x:v>
      </x:c>
      <x:c r="F192" s="13" t="str">
        <x:v>P06</x:v>
      </x:c>
      <x:c r="G192" s="13" t="str">
        <x:v>P0</x:v>
      </x:c>
      <x:c r="H192" s="13" t="str">
        <x:v>Frontend</x:v>
      </x:c>
      <x:c r="I192" s="13" t="str">
        <x:v>TEST22: valid three-page PDF; prior Poppler check</x:v>
      </x:c>
      <x:c r="J192" s="13" t="str">
        <x:v>Maintain this tested local utility until replacement is validated.</x:v>
      </x:c>
      <x:c r="K192" s="13" t="str">
        <x:v>Long code creates a structurally valid multipage PDF with escaped PDF text.</x:v>
      </x:c>
      <x:c r="L192" s="13" t="str">
        <x:v>21-22</x:v>
      </x:c>
      <x:c r="M192" s="13" t="str"/>
      <x:c r="N192" s="14" t="d">
        <x:v>2026-10-22T00:00:00.000Z</x:v>
      </x:c>
    </x:row>
    <x:row r="193" ht="66" customHeight="1">
      <x:c r="A193" s="15" t="str">
        <x:v>RUN-001</x:v>
      </x:c>
      <x:c r="B193" s="13" t="str">
        <x:v>Local plain-JavaScript runner</x:v>
      </x:c>
      <x:c r="C193" s="13" t="str">
        <x:v>Execution service</x:v>
      </x:c>
      <x:c r="D193" s="13" t="str">
        <x:v>Reference</x:v>
      </x:c>
      <x:c r="E193" s="16" t="str">
        <x:v>Implemented</x:v>
      </x:c>
      <x:c r="F193" s="13" t="str">
        <x:v>P06</x:v>
      </x:c>
      <x:c r="G193" s="13" t="str">
        <x:v>P0</x:v>
      </x:c>
      <x:c r="H193" s="13" t="str">
        <x:v>Backend / Security</x:v>
      </x:c>
      <x:c r="I193" s="13" t="str">
        <x:v>QA21 result 55; worker CSP and five-second timeout in source</x:v>
      </x:c>
      <x:c r="J193" s="13" t="str">
        <x:v>Keep the offline mode distinct from server runner capability.</x:v>
      </x:c>
      <x:c r="K193" s="13" t="str">
        <x:v>Plain JavaScript runs in a disposable worker with bounded output and timeout.</x:v>
      </x:c>
      <x:c r="L193" s="13" t="str">
        <x:v>10,23-26</x:v>
      </x:c>
      <x:c r="M193" s="13" t="str"/>
      <x:c r="N193" s="14" t="d">
        <x:v>2026-10-22T00:00:00.000Z</x:v>
      </x:c>
    </x:row>
    <x:row r="194" ht="66" customHeight="1">
      <x:c r="A194" s="15" t="str">
        <x:v>WEB-001</x:v>
      </x:c>
      <x:c r="B194" s="13" t="str">
        <x:v>FutureRobotic AI brand, hero and public visual system</x:v>
      </x:c>
      <x:c r="C194" s="13" t="str">
        <x:v>Public website and discovery</x:v>
      </x:c>
      <x:c r="D194" s="13" t="str">
        <x:v>Reference</x:v>
      </x:c>
      <x:c r="E194" s="16" t="str">
        <x:v>Implemented</x:v>
      </x:c>
      <x:c r="F194" s="13" t="str">
        <x:v>P08</x:v>
      </x:c>
      <x:c r="G194" s="13" t="str">
        <x:v>P0</x:v>
      </x:c>
      <x:c r="H194" s="13" t="str">
        <x:v>Frontend</x:v>
      </x:c>
      <x:c r="I194" s="13" t="str">
        <x:v>QA21; app/reference-home.tsx, reference.css, layout.tsx</x:v>
      </x:c>
      <x:c r="J194" s="13" t="str">
        <x:v>Maintain visual regression coverage during the AWS port.</x:v>
      </x:c>
      <x:c r="K194" s="13" t="str">
        <x:v>Brand, beige background, Geist typography and desktop hero render against reference.</x:v>
      </x:c>
      <x:c r="L194" s="13" t="str">
        <x:v>01-02</x:v>
      </x:c>
      <x:c r="M194" s="13" t="str"/>
      <x:c r="N194" s="14" t="d">
        <x:v>2026-10-22T00:00:00.000Z</x:v>
      </x:c>
    </x:row>
    <x:row r="195" ht="66" customHeight="1">
      <x:c r="A195" s="15" t="str">
        <x:v>WEB-002</x:v>
      </x:c>
      <x:c r="B195" s="13" t="str">
        <x:v>Eight-tool navigation and public routes</x:v>
      </x:c>
      <x:c r="C195" s="13" t="str">
        <x:v>Public website and discovery</x:v>
      </x:c>
      <x:c r="D195" s="13" t="str">
        <x:v>Reference</x:v>
      </x:c>
      <x:c r="E195" s="16" t="str">
        <x:v>Implemented</x:v>
      </x:c>
      <x:c r="F195" s="13" t="str">
        <x:v>P08</x:v>
      </x:c>
      <x:c r="G195" s="13" t="str">
        <x:v>P0</x:v>
      </x:c>
      <x:c r="H195" s="13" t="str">
        <x:v>Frontend</x:v>
      </x:c>
      <x:c r="I195" s="13" t="str">
        <x:v>TEST22; freePaths and eight route files; QA21 navigation</x:v>
      </x:c>
      <x:c r="J195" s="13" t="str">
        <x:v>Preserve URLs during migration.</x:v>
      </x:c>
      <x:c r="K195" s="13" t="str">
        <x:v>Each of eight menu entries resolves to the correct tool page.</x:v>
      </x:c>
      <x:c r="L195" s="13" t="str">
        <x:v>03,06-24</x:v>
      </x:c>
      <x:c r="M195" s="13" t="str"/>
      <x:c r="N195" s="14" t="d">
        <x:v>2026-10-22T00:00:00.000Z</x:v>
      </x:c>
    </x:row>
    <x:row r="196" ht="66" customHeight="1">
      <x:c r="A196" s="15" t="str">
        <x:v>WEB-003</x:v>
      </x:c>
      <x:c r="B196" s="13" t="str">
        <x:v>Homepage four tool cards and calls to action</x:v>
      </x:c>
      <x:c r="C196" s="13" t="str">
        <x:v>Public website and discovery</x:v>
      </x:c>
      <x:c r="D196" s="13" t="str">
        <x:v>Reference</x:v>
      </x:c>
      <x:c r="E196" s="16" t="str">
        <x:v>Implemented</x:v>
      </x:c>
      <x:c r="F196" s="13" t="str">
        <x:v>P08</x:v>
      </x:c>
      <x:c r="G196" s="13" t="str">
        <x:v>P0</x:v>
      </x:c>
      <x:c r="H196" s="13" t="str">
        <x:v>Frontend</x:v>
      </x:c>
      <x:c r="I196" s="13" t="str">
        <x:v>QA21; ReferenceHome renders four cards and tool links</x:v>
      </x:c>
      <x:c r="J196" s="13" t="str">
        <x:v>Preserve routing and accessible labels.</x:v>
      </x:c>
      <x:c r="K196" s="13" t="str">
        <x:v>All four cards and both hero/closing calls to action navigate correctly.</x:v>
      </x:c>
      <x:c r="L196" s="13" t="str">
        <x:v>04,48</x:v>
      </x:c>
      <x:c r="M196" s="13" t="str"/>
      <x:c r="N196" s="14" t="d">
        <x:v>2026-10-22T00:00:00.000Z</x:v>
      </x:c>
    </x:row>
    <x:row r="197" ht="66" customHeight="1">
      <x:c r="A197" s="15" t="str">
        <x:v>WEB-004</x:v>
      </x:c>
      <x:c r="B197" s="13" t="str">
        <x:v>Moving language-logo strip and language cards</x:v>
      </x:c>
      <x:c r="C197" s="13" t="str">
        <x:v>Public website and discovery</x:v>
      </x:c>
      <x:c r="D197" s="13" t="str">
        <x:v>Reference</x:v>
      </x:c>
      <x:c r="E197" s="16" t="str">
        <x:v>Implemented</x:v>
      </x:c>
      <x:c r="F197" s="13" t="str">
        <x:v>P08</x:v>
      </x:c>
      <x:c r="G197" s="13" t="str">
        <x:v>P0</x:v>
      </x:c>
      <x:c r="H197" s="13" t="str">
        <x:v>Frontend</x:v>
      </x:c>
      <x:c r="I197" s="13" t="str">
        <x:v>QA21; 68 directory assets checked by TEST22</x:v>
      </x:c>
      <x:c r="J197" s="13" t="str">
        <x:v>Keep language catalog and counts consistent.</x:v>
      </x:c>
      <x:c r="K197" s="13" t="str">
        <x:v>All displayed language logos load; source-language selection passes through correctly.</x:v>
      </x:c>
      <x:c r="L197" s="13" t="str">
        <x:v>01-02,42-43</x:v>
      </x:c>
      <x:c r="M197" s="13" t="str"/>
      <x:c r="N197" s="14" t="d">
        <x:v>2026-10-22T00:00:00.000Z</x:v>
      </x:c>
    </x:row>
    <x:row r="198" ht="66" customHeight="1">
      <x:c r="A198" s="15" t="str">
        <x:v>WEB-005</x:v>
      </x:c>
      <x:c r="B198" s="13" t="str">
        <x:v>Workspace promotional preview and benefits section</x:v>
      </x:c>
      <x:c r="C198" s="13" t="str">
        <x:v>Public website and discovery</x:v>
      </x:c>
      <x:c r="D198" s="13" t="str">
        <x:v>Reference</x:v>
      </x:c>
      <x:c r="E198" s="16" t="str">
        <x:v>Implemented</x:v>
      </x:c>
      <x:c r="F198" s="13" t="str">
        <x:v>P08</x:v>
      </x:c>
      <x:c r="G198" s="13" t="str">
        <x:v>P0</x:v>
      </x:c>
      <x:c r="H198" s="13" t="str">
        <x:v>Frontend</x:v>
      </x:c>
      <x:c r="I198" s="13" t="str">
        <x:v>QA21; local preview image with FutureRobotic AI overlays</x:v>
      </x:c>
      <x:c r="J198" s="13" t="str">
        <x:v>Replace reference-owned artwork before commercial release where rights are unconfirmed (SEC-012).</x:v>
      </x:c>
      <x:c r="K198" s="13" t="str">
        <x:v>Workspace image and three benefits columns render with FutureRobotic AI branding.</x:v>
      </x:c>
      <x:c r="L198" s="13" t="str">
        <x:v>05,48</x:v>
      </x:c>
      <x:c r="M198" s="13" t="str"/>
      <x:c r="N198" s="14" t="d">
        <x:v>2026-10-22T00:00:00.000Z</x:v>
      </x:c>
    </x:row>
    <x:row r="199" ht="66" customHeight="1">
      <x:c r="A199" s="15" t="str">
        <x:v>WEB-007</x:v>
      </x:c>
      <x:c r="B199" s="13" t="str">
        <x:v>Monthly and yearly pricing display</x:v>
      </x:c>
      <x:c r="C199" s="13" t="str">
        <x:v>Public website and discovery</x:v>
      </x:c>
      <x:c r="D199" s="13" t="str">
        <x:v>Reference</x:v>
      </x:c>
      <x:c r="E199" s="16" t="str">
        <x:v>Implemented</x:v>
      </x:c>
      <x:c r="F199" s="13" t="str">
        <x:v>P08</x:v>
      </x:c>
      <x:c r="G199" s="13" t="str">
        <x:v>P0</x:v>
      </x:c>
      <x:c r="H199" s="13" t="str">
        <x:v>Frontend</x:v>
      </x:c>
      <x:c r="I199" s="13" t="str">
        <x:v>app/future-app.tsx annual state; prices explicitly preview-only</x:v>
      </x:c>
      <x:c r="J199" s="13" t="str">
        <x:v>Connect these displays to approved catalog in BIL tasks.</x:v>
      </x:c>
      <x:c r="K199" s="13" t="str">
        <x:v>Toggle changes displayed proposed monthly/yearly prices accurately, without implying a purchase.</x:v>
      </x:c>
      <x:c r="L199" s="13" t="str">
        <x:v>27-30</x:v>
      </x:c>
      <x:c r="M199" s="13" t="str"/>
      <x:c r="N199" s="14" t="d">
        <x:v>2026-10-22T00:00:00.000Z</x:v>
      </x:c>
    </x:row>
    <x:row r="200" ht="66" customHeight="1">
      <x:c r="A200" s="15" t="str">
        <x:v>QAS-001</x:v>
      </x:c>
      <x:c r="B200" s="13" t="str">
        <x:v>Existing TypeScript and utility/API mock suite</x:v>
      </x:c>
      <x:c r="C200" s="13" t="str">
        <x:v>Quality and release verification</x:v>
      </x:c>
      <x:c r="D200" s="13" t="str">
        <x:v>Production</x:v>
      </x:c>
      <x:c r="E200" s="16" t="str">
        <x:v>Implemented</x:v>
      </x:c>
      <x:c r="F200" s="13" t="str">
        <x:v>P10</x:v>
      </x:c>
      <x:c r="G200" s="13" t="str">
        <x:v>P0</x:v>
      </x:c>
      <x:c r="H200" s="13" t="str">
        <x:v>QA / Engineering</x:v>
      </x:c>
      <x:c r="I200" s="13" t="str">
        <x:v>TEST22: tsc --noEmit and tests/tools.test.mjs pass</x:v>
      </x:c>
      <x:c r="J200" s="13" t="str">
        <x:v>Retain checks while adding portable backend coverage.</x:v>
      </x:c>
      <x:c r="K200" s="13" t="str">
        <x:v>Current 72-language/68-asset/8-route fixtures and API validation checks pass.</x:v>
      </x:c>
      <x:c r="L200" s="13" t="str">
        <x:v>Current tests</x:v>
      </x:c>
      <x:c r="M200" s="13" t="str"/>
      <x:c r="N200" s="14" t="d">
        <x:v>2026-10-22T00:00:00.000Z</x:v>
      </x:c>
    </x:row>
    <x:row r="201" ht="68" customHeight="1">
      <x:c r="A201" s="15" t="str">
        <x:v>SEC-001</x:v>
      </x:c>
      <x:c r="B201" s="13" t="str">
        <x:v>Tenant authorization and anti-IDOR tests</x:v>
      </x:c>
      <x:c r="C201" s="13" t="str">
        <x:v>Security and data handling</x:v>
      </x:c>
      <x:c r="D201" s="13" t="str">
        <x:v>Production</x:v>
      </x:c>
      <x:c r="E201" s="16" t="str">
        <x:v>Implemented</x:v>
      </x:c>
      <x:c r="F201" s="13" t="str">
        <x:v>P10</x:v>
      </x:c>
      <x:c r="G201" s="13" t="str">
        <x:v>P0</x:v>
      </x:c>
      <x:c r="H201" s="13" t="str">
        <x:v>Codex / Engineering</x:v>
      </x:c>
      <x:c r="I201" s="13" t="str">
        <x:v>BUILD-01: Two-account route/service fixtures deny guessed/cross-user reads and writes across runs, notes, chats, files, shares, exports and billing views. Composite database ownership keys also reject invalid references.</x:v>
      </x:c>
      <x:c r="J201" s="13" t="str">
        <x:v>Repeat negative cases as new routes/adapters are added and on staging before release.</x:v>
      </x:c>
      <x:c r="K201" s="13" t="str">
        <x:v>Cross-user and guessed-ID reads/writes/deletes fail across runs, chats, files and billing.</x:v>
      </x:c>
      <x:c r="L201" s="13" t="str">
        <x:v>Production requirement</x:v>
      </x:c>
      <x:c r="M201" s="13" t="str"/>
      <x:c r="N201" s="14" t="d">
        <x:v>2026-10-22T00:00:00.000Z</x:v>
      </x:c>
    </x:row>
    <x:row r="202" ht="66" customHeight="1">
      <x:c r="A202" s="15" t="str">
        <x:v>SEC-006</x:v>
      </x:c>
      <x:c r="B202" s="13" t="str">
        <x:v>Prompt/context trust boundaries</x:v>
      </x:c>
      <x:c r="C202" s="13" t="str">
        <x:v>Security and data handling</x:v>
      </x:c>
      <x:c r="D202" s="13" t="str">
        <x:v>Production</x:v>
      </x:c>
      <x:c r="E202" s="16" t="str">
        <x:v>Implemented</x:v>
      </x:c>
      <x:c r="F202" s="13" t="str">
        <x:v>P10</x:v>
      </x:c>
      <x:c r="G202" s="13" t="str">
        <x:v>P0</x:v>
      </x:c>
      <x:c r="H202" s="13" t="str">
        <x:v>Codex / Engineering</x:v>
      </x:c>
      <x:c r="I202" s="13" t="str">
        <x:v>BUILD-01: Server-built context uses only owned records, fixed trusted roles and bounded attachments. Source remains untrusted JSON data, no tools are exposed, and sessions/secrets are excluded.</x:v>
      </x:c>
      <x:c r="J202" s="13" t="str">
        <x:v>Live model quality/adversarial evaluation and streaming/UI integration remain AI/chat release work B03.</x:v>
      </x:c>
      <x:c r="K202" s="13" t="str">
        <x:v>Injected code/attachments cannot obtain secrets, other-user data or unapproved tool execution.</x:v>
      </x:c>
      <x:c r="L202" s="13" t="str">
        <x:v>tests/tools.test.mjs; production requirement</x:v>
      </x:c>
      <x:c r="M202" s="13" t="str"/>
      <x:c r="N202" s="14" t="d">
        <x:v>2026-10-22T00:00:00.000Z</x:v>
      </x:c>
    </x:row>
    <x:row r="203">
      <x:c r="A203"/>
      <x:c r="B203"/>
      <x:c r="C203"/>
      <x:c r="D203"/>
      <x:c r="E203" s="17"/>
      <x:c r="F203"/>
    </x:row>
    <x:row r="204">
      <x:c r="E204" s="17"/>
    </x:row>
    <x:row r="205">
      <x:c r="E205" s="17"/>
    </x:row>
    <x:row r="206">
      <x:c r="E206" s="17"/>
    </x:row>
    <x:row r="207">
      <x:c r="E207" s="17"/>
    </x:row>
    <x:row r="208">
      <x:c r="E208" s="17"/>
    </x:row>
    <x:row r="209">
      <x:c r="E209" s="17"/>
    </x:row>
    <x:row r="210">
      <x:c r="E210" s="17"/>
    </x:row>
    <x:row r="211">
      <x:c r="E211" s="17"/>
    </x:row>
    <x:row r="212">
      <x:c r="E212" s="17"/>
    </x:row>
    <x:row r="213">
      <x:c r="E213" s="17"/>
    </x:row>
    <x:row r="214">
      <x:c r="E214" s="17"/>
    </x:row>
    <x:row r="215">
      <x:c r="E215" s="17"/>
    </x:row>
    <x:row r="216">
      <x:c r="E216" s="17"/>
    </x:row>
    <x:row r="217">
      <x:c r="E217" s="17"/>
    </x:row>
    <x:row r="218">
      <x:c r="E218" s="17"/>
    </x:row>
    <x:row r="219">
      <x:c r="E219" s="17"/>
    </x:row>
    <x:row r="220">
      <x:c r="E220" s="17"/>
    </x:row>
    <x:row r="221">
      <x:c r="E221" s="17"/>
    </x:row>
    <x:row r="222">
      <x:c r="E222" s="17"/>
    </x:row>
    <x:row r="223">
      <x:c r="E223" s="17"/>
    </x:row>
    <x:row r="224">
      <x:c r="E224" s="17"/>
    </x:row>
    <x:row r="225">
      <x:c r="E225" s="17"/>
    </x:row>
    <x:row r="226">
      <x:c r="E226" s="17"/>
    </x:row>
    <x:row r="227">
      <x:c r="E227" s="17"/>
    </x:row>
    <x:row r="228">
      <x:c r="E228" s="17"/>
    </x:row>
    <x:row r="229">
      <x:c r="E229" s="17"/>
    </x:row>
    <x:row r="230">
      <x:c r="E230" s="17"/>
    </x:row>
    <x:row r="231">
      <x:c r="E231" s="17"/>
    </x:row>
    <x:row r="232">
      <x:c r="E232" s="17"/>
    </x:row>
    <x:row r="233">
      <x:c r="E233" s="17"/>
    </x:row>
    <x:row r="234">
      <x:c r="E234" s="17"/>
    </x:row>
    <x:row r="235">
      <x:c r="E235" s="17"/>
    </x:row>
    <x:row r="236">
      <x:c r="E236" s="17"/>
    </x:row>
    <x:row r="237">
      <x:c r="E237" s="17"/>
    </x:row>
    <x:row r="238">
      <x:c r="E238" s="17"/>
    </x:row>
    <x:row r="239">
      <x:c r="E239" s="17"/>
    </x:row>
    <x:row r="240">
      <x:c r="E240" s="17"/>
    </x:row>
    <x:row r="241">
      <x:c r="E241" s="17"/>
    </x:row>
    <x:row r="242">
      <x:c r="E242" s="17"/>
    </x:row>
    <x:row r="243">
      <x:c r="E243" s="17"/>
    </x:row>
    <x:row r="244">
      <x:c r="E244" s="17"/>
    </x:row>
    <x:row r="245">
      <x:c r="E245" s="17"/>
    </x:row>
    <x:row r="246">
      <x:c r="E246" s="17"/>
    </x:row>
    <x:row r="247">
      <x:c r="E247" s="17"/>
    </x:row>
    <x:row r="248">
      <x:c r="E248" s="17"/>
    </x:row>
    <x:row r="249">
      <x:c r="E249" s="17"/>
    </x:row>
    <x:row r="250">
      <x:c r="E250" s="17"/>
    </x:row>
    <x:row r="251">
      <x:c r="E251" s="17"/>
    </x:row>
    <x:row r="252">
      <x:c r="E252" s="17"/>
    </x:row>
    <x:row r="253">
      <x:c r="E253" s="17"/>
    </x:row>
    <x:row r="254">
      <x:c r="E254" s="17"/>
    </x:row>
    <x:row r="255">
      <x:c r="E255" s="17"/>
    </x:row>
    <x:row r="256">
      <x:c r="E256" s="17"/>
    </x:row>
    <x:row r="257">
      <x:c r="E257" s="17"/>
    </x:row>
    <x:row r="258">
      <x:c r="E258" s="17"/>
    </x:row>
    <x:row r="259">
      <x:c r="E259" s="17"/>
    </x:row>
    <x:row r="260">
      <x:c r="E260" s="17"/>
    </x:row>
    <x:row r="261">
      <x:c r="E261" s="17"/>
    </x:row>
    <x:row r="262">
      <x:c r="E262" s="17"/>
    </x:row>
    <x:row r="263">
      <x:c r="E263" s="17"/>
    </x:row>
    <x:row r="264">
      <x:c r="E264" s="17"/>
    </x:row>
    <x:row r="265">
      <x:c r="E265" s="17"/>
    </x:row>
    <x:row r="266">
      <x:c r="E266" s="17"/>
    </x:row>
    <x:row r="267">
      <x:c r="E267" s="17"/>
    </x:row>
    <x:row r="268">
      <x:c r="E268" s="17"/>
    </x:row>
    <x:row r="269">
      <x:c r="E269" s="17"/>
    </x:row>
    <x:row r="270">
      <x:c r="E270" s="17"/>
    </x:row>
    <x:row r="271">
      <x:c r="E271" s="17"/>
    </x:row>
    <x:row r="272">
      <x:c r="E272" s="17"/>
    </x:row>
    <x:row r="273">
      <x:c r="E273" s="17"/>
    </x:row>
    <x:row r="274">
      <x:c r="E274" s="17"/>
    </x:row>
    <x:row r="275">
      <x:c r="E275" s="17"/>
    </x:row>
    <x:row r="276">
      <x:c r="E276" s="17"/>
    </x:row>
    <x:row r="277">
      <x:c r="E277" s="17"/>
    </x:row>
    <x:row r="278">
      <x:c r="E278" s="17"/>
    </x:row>
    <x:row r="279">
      <x:c r="E279" s="17"/>
    </x:row>
    <x:row r="280">
      <x:c r="E280" s="17"/>
    </x:row>
    <x:row r="281">
      <x:c r="E281" s="17"/>
    </x:row>
    <x:row r="282">
      <x:c r="E282" s="17"/>
    </x:row>
    <x:row r="283">
      <x:c r="E283" s="17"/>
    </x:row>
    <x:row r="284">
      <x:c r="E284" s="17"/>
    </x:row>
    <x:row r="285">
      <x:c r="E285" s="17"/>
    </x:row>
    <x:row r="286">
      <x:c r="E286" s="17"/>
    </x:row>
    <x:row r="287">
      <x:c r="E287" s="17"/>
    </x:row>
    <x:row r="288">
      <x:c r="E288" s="17"/>
    </x:row>
    <x:row r="289">
      <x:c r="E289" s="17"/>
    </x:row>
    <x:row r="290">
      <x:c r="E290" s="17"/>
    </x:row>
    <x:row r="291">
      <x:c r="E291" s="17"/>
    </x:row>
    <x:row r="292">
      <x:c r="E292" s="17"/>
    </x:row>
    <x:row r="293">
      <x:c r="E293" s="17"/>
    </x:row>
    <x:row r="294">
      <x:c r="E294" s="17"/>
    </x:row>
    <x:row r="295">
      <x:c r="E295" s="17"/>
    </x:row>
    <x:row r="296">
      <x:c r="E296" s="17"/>
    </x:row>
    <x:row r="297">
      <x:c r="E297" s="17"/>
    </x:row>
    <x:row r="298">
      <x:c r="E298" s="17"/>
    </x:row>
    <x:row r="299">
      <x:c r="E299" s="17"/>
    </x:row>
    <x:row r="300">
      <x:c r="E300" s="17"/>
    </x:row>
    <x:row r="301">
      <x:c r="E301" s="17"/>
    </x:row>
    <x:row r="302">
      <x:c r="E302" s="17"/>
    </x:row>
    <x:row r="303">
      <x:c r="E303" s="17"/>
    </x:row>
    <x:row r="304">
      <x:c r="E304" s="17"/>
    </x:row>
    <x:row r="305">
      <x:c r="E305" s="17"/>
    </x:row>
    <x:row r="306">
      <x:c r="E306" s="17"/>
    </x:row>
    <x:row r="307">
      <x:c r="E307" s="17"/>
    </x:row>
    <x:row r="308">
      <x:c r="E308" s="17"/>
    </x:row>
    <x:row r="309">
      <x:c r="E309" s="17"/>
    </x:row>
    <x:row r="310">
      <x:c r="E310" s="17"/>
    </x:row>
    <x:row r="311">
      <x:c r="E311" s="17"/>
    </x:row>
    <x:row r="312">
      <x:c r="E312" s="17"/>
    </x:row>
    <x:row r="313">
      <x:c r="E313" s="17"/>
    </x:row>
    <x:row r="314">
      <x:c r="E314" s="17"/>
    </x:row>
    <x:row r="315">
      <x:c r="E315" s="17"/>
    </x:row>
    <x:row r="316">
      <x:c r="E316" s="17"/>
    </x:row>
    <x:row r="317">
      <x:c r="E317" s="17"/>
    </x:row>
    <x:row r="318">
      <x:c r="E318" s="17"/>
    </x:row>
    <x:row r="319">
      <x:c r="E319" s="17"/>
    </x:row>
    <x:row r="320">
      <x:c r="E320" s="17"/>
    </x:row>
    <x:row r="321">
      <x:c r="E321" s="17"/>
    </x:row>
    <x:row r="322">
      <x:c r="E322" s="17"/>
    </x:row>
    <x:row r="323">
      <x:c r="E323" s="17"/>
    </x:row>
    <x:row r="324">
      <x:c r="E324" s="17"/>
    </x:row>
    <x:row r="325">
      <x:c r="E325" s="17"/>
    </x:row>
    <x:row r="326">
      <x:c r="E326" s="17"/>
    </x:row>
    <x:row r="327">
      <x:c r="E327" s="17"/>
    </x:row>
    <x:row r="328">
      <x:c r="E328" s="17"/>
    </x:row>
    <x:row r="329">
      <x:c r="E329" s="17"/>
    </x:row>
    <x:row r="330">
      <x:c r="E330" s="17"/>
    </x:row>
    <x:row r="331">
      <x:c r="E331" s="17"/>
    </x:row>
    <x:row r="332">
      <x:c r="E332" s="17"/>
    </x:row>
    <x:row r="333">
      <x:c r="E333" s="17"/>
    </x:row>
    <x:row r="334">
      <x:c r="E334" s="17"/>
    </x:row>
    <x:row r="335">
      <x:c r="E335" s="17"/>
    </x:row>
    <x:row r="336">
      <x:c r="E336" s="17"/>
    </x:row>
    <x:row r="337">
      <x:c r="E337" s="17"/>
    </x:row>
    <x:row r="338">
      <x:c r="E338" s="17"/>
    </x:row>
    <x:row r="339">
      <x:c r="E339" s="17"/>
    </x:row>
    <x:row r="340">
      <x:c r="E340" s="17"/>
    </x:row>
    <x:row r="341">
      <x:c r="E341" s="17"/>
    </x:row>
    <x:row r="342">
      <x:c r="E342" s="17"/>
    </x:row>
    <x:row r="343">
      <x:c r="E343" s="17"/>
    </x:row>
    <x:row r="344">
      <x:c r="E344" s="17"/>
    </x:row>
    <x:row r="345">
      <x:c r="E345" s="17"/>
    </x:row>
    <x:row r="346">
      <x:c r="E346" s="17"/>
    </x:row>
    <x:row r="347">
      <x:c r="E347" s="17"/>
    </x:row>
    <x:row r="348">
      <x:c r="E348" s="17"/>
    </x:row>
    <x:row r="349">
      <x:c r="E349" s="17"/>
    </x:row>
    <x:row r="350">
      <x:c r="E350" s="17"/>
    </x:row>
    <x:row r="351">
      <x:c r="E351" s="17"/>
    </x:row>
    <x:row r="352">
      <x:c r="E352" s="17"/>
    </x:row>
    <x:row r="353">
      <x:c r="E353" s="17"/>
    </x:row>
    <x:row r="354">
      <x:c r="E354" s="17"/>
    </x:row>
    <x:row r="355">
      <x:c r="E355" s="17"/>
    </x:row>
    <x:row r="356">
      <x:c r="E356" s="17"/>
    </x:row>
    <x:row r="357">
      <x:c r="E357" s="17"/>
    </x:row>
    <x:row r="358">
      <x:c r="E358" s="17"/>
    </x:row>
    <x:row r="359">
      <x:c r="E359" s="17"/>
    </x:row>
    <x:row r="360">
      <x:c r="E360" s="17"/>
    </x:row>
    <x:row r="361">
      <x:c r="E361" s="17"/>
    </x:row>
    <x:row r="362">
      <x:c r="E362" s="17"/>
    </x:row>
    <x:row r="363">
      <x:c r="E363" s="17"/>
    </x:row>
    <x:row r="364">
      <x:c r="E364" s="17"/>
    </x:row>
    <x:row r="365">
      <x:c r="E365" s="17"/>
    </x:row>
    <x:row r="366">
      <x:c r="E366" s="17"/>
    </x:row>
    <x:row r="367">
      <x:c r="E367" s="17"/>
    </x:row>
    <x:row r="368">
      <x:c r="E368" s="17"/>
    </x:row>
    <x:row r="369">
      <x:c r="E369" s="17"/>
    </x:row>
    <x:row r="370">
      <x:c r="E370" s="17"/>
    </x:row>
    <x:row r="371">
      <x:c r="E371" s="17"/>
    </x:row>
    <x:row r="372">
      <x:c r="E372" s="17"/>
    </x:row>
    <x:row r="373">
      <x:c r="E373" s="17"/>
    </x:row>
    <x:row r="374">
      <x:c r="E374" s="17"/>
    </x:row>
    <x:row r="375">
      <x:c r="E375" s="17"/>
    </x:row>
    <x:row r="376">
      <x:c r="E376" s="17"/>
    </x:row>
    <x:row r="377">
      <x:c r="E377" s="17"/>
    </x:row>
    <x:row r="378">
      <x:c r="E378" s="17"/>
    </x:row>
    <x:row r="379">
      <x:c r="E379" s="17"/>
    </x:row>
    <x:row r="380">
      <x:c r="E380" s="17"/>
    </x:row>
    <x:row r="381">
      <x:c r="E381" s="17"/>
    </x:row>
    <x:row r="382">
      <x:c r="E382" s="17"/>
    </x:row>
    <x:row r="383">
      <x:c r="E383" s="17"/>
    </x:row>
    <x:row r="384">
      <x:c r="E384" s="17"/>
    </x:row>
    <x:row r="385">
      <x:c r="E385" s="17"/>
    </x:row>
    <x:row r="386">
      <x:c r="E386" s="17"/>
    </x:row>
    <x:row r="387">
      <x:c r="E387" s="17"/>
    </x:row>
    <x:row r="388">
      <x:c r="E388" s="17"/>
    </x:row>
    <x:row r="389">
      <x:c r="E389" s="17"/>
    </x:row>
    <x:row r="390">
      <x:c r="E390" s="17"/>
    </x:row>
    <x:row r="391">
      <x:c r="E391" s="17"/>
    </x:row>
    <x:row r="392">
      <x:c r="E392" s="17"/>
    </x:row>
    <x:row r="393">
      <x:c r="E393" s="17"/>
    </x:row>
    <x:row r="394">
      <x:c r="E394" s="17"/>
    </x:row>
    <x:row r="395">
      <x:c r="E395" s="17"/>
    </x:row>
    <x:row r="396">
      <x:c r="E396" s="17"/>
    </x:row>
    <x:row r="397">
      <x:c r="E397" s="17"/>
    </x:row>
    <x:row r="398">
      <x:c r="E398" s="17"/>
    </x:row>
    <x:row r="399">
      <x:c r="E399" s="17"/>
    </x:row>
    <x:row r="400">
      <x:c r="E400" s="17"/>
    </x:row>
    <x:row r="401">
      <x:c r="E401" s="17"/>
    </x:row>
    <x:row r="402">
      <x:c r="E402" s="17"/>
    </x:row>
    <x:row r="403">
      <x:c r="E403" s="17"/>
    </x:row>
    <x:row r="404">
      <x:c r="E404" s="17"/>
    </x:row>
    <x:row r="405">
      <x:c r="E405" s="17"/>
    </x:row>
    <x:row r="406">
      <x:c r="E406" s="17"/>
    </x:row>
    <x:row r="407">
      <x:c r="E407" s="17"/>
    </x:row>
    <x:row r="408">
      <x:c r="E408" s="17"/>
    </x:row>
    <x:row r="409">
      <x:c r="E409" s="17"/>
    </x:row>
    <x:row r="410">
      <x:c r="E410" s="17"/>
    </x:row>
    <x:row r="411">
      <x:c r="E411" s="17"/>
    </x:row>
    <x:row r="412">
      <x:c r="E412" s="17"/>
    </x:row>
    <x:row r="413">
      <x:c r="E413" s="17"/>
    </x:row>
    <x:row r="414">
      <x:c r="E414" s="17"/>
    </x:row>
    <x:row r="415">
      <x:c r="E415" s="17"/>
    </x:row>
    <x:row r="416">
      <x:c r="E416" s="17"/>
    </x:row>
    <x:row r="417">
      <x:c r="E417" s="17"/>
    </x:row>
    <x:row r="418">
      <x:c r="E418" s="17"/>
    </x:row>
    <x:row r="419">
      <x:c r="E419" s="17"/>
    </x:row>
    <x:row r="420">
      <x:c r="E420" s="17"/>
    </x:row>
    <x:row r="421">
      <x:c r="E421" s="17"/>
    </x:row>
    <x:row r="422">
      <x:c r="E422" s="17"/>
    </x:row>
    <x:row r="423">
      <x:c r="E423" s="17"/>
    </x:row>
    <x:row r="424">
      <x:c r="E424" s="17"/>
    </x:row>
    <x:row r="425">
      <x:c r="E425" s="17"/>
    </x:row>
    <x:row r="426">
      <x:c r="E426" s="17"/>
    </x:row>
    <x:row r="427">
      <x:c r="E427" s="17"/>
    </x:row>
    <x:row r="428">
      <x:c r="E428" s="17"/>
    </x:row>
    <x:row r="429">
      <x:c r="E429" s="17"/>
    </x:row>
    <x:row r="430">
      <x:c r="E430" s="17"/>
    </x:row>
    <x:row r="431">
      <x:c r="E431" s="17"/>
    </x:row>
    <x:row r="432">
      <x:c r="E432" s="17"/>
    </x:row>
    <x:row r="433">
      <x:c r="E433" s="17"/>
    </x:row>
    <x:row r="434">
      <x:c r="E434" s="17"/>
    </x:row>
    <x:row r="435">
      <x:c r="E435" s="17"/>
    </x:row>
    <x:row r="436">
      <x:c r="E436" s="17"/>
    </x:row>
    <x:row r="437">
      <x:c r="E437" s="17"/>
    </x:row>
    <x:row r="438">
      <x:c r="E438" s="17"/>
    </x:row>
    <x:row r="439">
      <x:c r="E439" s="17"/>
    </x:row>
    <x:row r="440">
      <x:c r="E440" s="17"/>
    </x:row>
    <x:row r="441">
      <x:c r="E441" s="17"/>
    </x:row>
    <x:row r="442">
      <x:c r="E442" s="17"/>
    </x:row>
    <x:row r="443">
      <x:c r="E443" s="17"/>
    </x:row>
    <x:row r="444">
      <x:c r="E444" s="17"/>
    </x:row>
    <x:row r="445">
      <x:c r="E445" s="17"/>
    </x:row>
    <x:row r="446">
      <x:c r="E446" s="17"/>
    </x:row>
    <x:row r="447">
      <x:c r="E447" s="17"/>
    </x:row>
    <x:row r="448">
      <x:c r="E448" s="17"/>
    </x:row>
    <x:row r="449">
      <x:c r="E449" s="17"/>
    </x:row>
    <x:row r="450">
      <x:c r="E450" s="17"/>
    </x:row>
    <x:row r="451">
      <x:c r="E451" s="17"/>
    </x:row>
    <x:row r="452">
      <x:c r="E452" s="17"/>
    </x:row>
    <x:row r="453">
      <x:c r="E453" s="17"/>
    </x:row>
    <x:row r="454">
      <x:c r="E454" s="17"/>
    </x:row>
    <x:row r="455">
      <x:c r="E455" s="17"/>
    </x:row>
    <x:row r="456">
      <x:c r="E456" s="17"/>
    </x:row>
    <x:row r="457">
      <x:c r="E457" s="17"/>
    </x:row>
    <x:row r="458">
      <x:c r="E458" s="17"/>
    </x:row>
    <x:row r="459">
      <x:c r="E459" s="17"/>
    </x:row>
    <x:row r="460">
      <x:c r="E460" s="17"/>
    </x:row>
    <x:row r="461">
      <x:c r="E461" s="17"/>
    </x:row>
    <x:row r="462">
      <x:c r="E462" s="17"/>
    </x:row>
    <x:row r="463">
      <x:c r="E463" s="17"/>
    </x:row>
    <x:row r="464">
      <x:c r="E464" s="17"/>
    </x:row>
    <x:row r="465">
      <x:c r="E465" s="17"/>
    </x:row>
    <x:row r="466">
      <x:c r="E466" s="17"/>
    </x:row>
    <x:row r="467">
      <x:c r="E467" s="17"/>
    </x:row>
    <x:row r="468">
      <x:c r="E468" s="17"/>
    </x:row>
    <x:row r="469">
      <x:c r="E469" s="17"/>
    </x:row>
    <x:row r="470">
      <x:c r="E470" s="17"/>
    </x:row>
    <x:row r="471">
      <x:c r="E471" s="17"/>
    </x:row>
    <x:row r="472">
      <x:c r="E472" s="17"/>
    </x:row>
    <x:row r="473">
      <x:c r="E473" s="17"/>
    </x:row>
    <x:row r="474">
      <x:c r="E474" s="17"/>
    </x:row>
    <x:row r="475">
      <x:c r="E475" s="17"/>
    </x:row>
    <x:row r="476">
      <x:c r="E476" s="17"/>
    </x:row>
    <x:row r="477">
      <x:c r="E477" s="17"/>
    </x:row>
    <x:row r="478">
      <x:c r="E478" s="17"/>
    </x:row>
    <x:row r="479">
      <x:c r="E479" s="17"/>
    </x:row>
    <x:row r="480">
      <x:c r="E480" s="17"/>
    </x:row>
    <x:row r="481">
      <x:c r="E481" s="17"/>
    </x:row>
    <x:row r="482">
      <x:c r="E482" s="17"/>
    </x:row>
    <x:row r="483">
      <x:c r="E483" s="17"/>
    </x:row>
    <x:row r="484">
      <x:c r="E484" s="17"/>
    </x:row>
    <x:row r="485">
      <x:c r="E485" s="17"/>
    </x:row>
    <x:row r="486">
      <x:c r="E486" s="17"/>
    </x:row>
    <x:row r="487">
      <x:c r="E487" s="17"/>
    </x:row>
    <x:row r="488">
      <x:c r="E488" s="17"/>
    </x:row>
    <x:row r="489">
      <x:c r="E489" s="17"/>
    </x:row>
    <x:row r="490">
      <x:c r="E490" s="17"/>
    </x:row>
    <x:row r="491">
      <x:c r="E491" s="17"/>
    </x:row>
    <x:row r="492">
      <x:c r="E492" s="17"/>
    </x:row>
    <x:row r="493">
      <x:c r="E493" s="17"/>
    </x:row>
    <x:row r="494">
      <x:c r="E494" s="17"/>
    </x:row>
    <x:row r="495">
      <x:c r="E495" s="17"/>
    </x:row>
    <x:row r="496">
      <x:c r="E496" s="17"/>
    </x:row>
    <x:row r="497">
      <x:c r="E497" s="17"/>
    </x:row>
    <x:row r="498">
      <x:c r="E498" s="17"/>
    </x:row>
    <x:row r="499">
      <x:c r="E499" s="17"/>
    </x:row>
    <x:row r="500">
      <x:c r="E500" s="17"/>
    </x:row>
    <x:row r="501">
      <x:c r="E501" s="17"/>
    </x:row>
    <x:row r="502">
      <x:c r="E502" s="17"/>
    </x:row>
    <x:row r="503">
      <x:c r="E503" s="17"/>
    </x:row>
    <x:row r="504">
      <x:c r="E504" s="17"/>
    </x:row>
    <x:row r="505">
      <x:c r="E505" s="17"/>
    </x:row>
    <x:row r="506">
      <x:c r="E506" s="17"/>
    </x:row>
    <x:row r="507">
      <x:c r="E507" s="17"/>
    </x:row>
    <x:row r="508">
      <x:c r="E508" s="17"/>
    </x:row>
    <x:row r="509">
      <x:c r="E509" s="17"/>
    </x:row>
    <x:row r="510">
      <x:c r="E510" s="17"/>
    </x:row>
    <x:row r="511">
      <x:c r="E511" s="17"/>
    </x:row>
    <x:row r="512">
      <x:c r="E512" s="17"/>
    </x:row>
    <x:row r="513">
      <x:c r="E513" s="17"/>
    </x:row>
    <x:row r="514">
      <x:c r="E514" s="17"/>
    </x:row>
    <x:row r="515">
      <x:c r="E515" s="17"/>
    </x:row>
    <x:row r="516">
      <x:c r="E516" s="17"/>
    </x:row>
    <x:row r="517">
      <x:c r="E517" s="17"/>
    </x:row>
    <x:row r="518">
      <x:c r="E518" s="17"/>
    </x:row>
    <x:row r="519">
      <x:c r="E519" s="17"/>
    </x:row>
    <x:row r="520">
      <x:c r="E520" s="17"/>
    </x:row>
    <x:row r="521">
      <x:c r="E521" s="17"/>
    </x:row>
    <x:row r="522">
      <x:c r="E522" s="17"/>
    </x:row>
    <x:row r="523">
      <x:c r="E523" s="17"/>
    </x:row>
    <x:row r="524">
      <x:c r="E524" s="17"/>
    </x:row>
    <x:row r="525">
      <x:c r="E525" s="17"/>
    </x:row>
    <x:row r="526">
      <x:c r="E526" s="17"/>
    </x:row>
    <x:row r="527">
      <x:c r="E527" s="17"/>
    </x:row>
    <x:row r="528">
      <x:c r="E528" s="17"/>
    </x:row>
    <x:row r="529">
      <x:c r="E529" s="17"/>
    </x:row>
    <x:row r="530">
      <x:c r="E530" s="17"/>
    </x:row>
    <x:row r="531">
      <x:c r="E531" s="17"/>
    </x:row>
    <x:row r="532">
      <x:c r="E532" s="17"/>
    </x:row>
    <x:row r="533">
      <x:c r="E533" s="17"/>
    </x:row>
    <x:row r="534">
      <x:c r="E534" s="17"/>
    </x:row>
    <x:row r="535">
      <x:c r="E535" s="17"/>
    </x:row>
    <x:row r="536">
      <x:c r="E536" s="17"/>
    </x:row>
    <x:row r="537">
      <x:c r="E537" s="17"/>
    </x:row>
    <x:row r="538">
      <x:c r="E538" s="17"/>
    </x:row>
    <x:row r="539">
      <x:c r="E539" s="17"/>
    </x:row>
    <x:row r="540">
      <x:c r="E540" s="17"/>
    </x:row>
    <x:row r="541">
      <x:c r="E541" s="17"/>
    </x:row>
    <x:row r="542">
      <x:c r="E542" s="17"/>
    </x:row>
    <x:row r="543">
      <x:c r="E543" s="17"/>
    </x:row>
    <x:row r="544">
      <x:c r="E544" s="17"/>
    </x:row>
    <x:row r="545">
      <x:c r="E545" s="17"/>
    </x:row>
    <x:row r="546">
      <x:c r="E546" s="17"/>
    </x:row>
    <x:row r="547">
      <x:c r="E547" s="17"/>
    </x:row>
    <x:row r="548">
      <x:c r="E548" s="17"/>
    </x:row>
    <x:row r="549">
      <x:c r="E549" s="17"/>
    </x:row>
    <x:row r="550">
      <x:c r="E550" s="17"/>
    </x:row>
    <x:row r="551">
      <x:c r="E551" s="17"/>
    </x:row>
    <x:row r="552">
      <x:c r="E552" s="17"/>
    </x:row>
    <x:row r="553">
      <x:c r="E553" s="17"/>
    </x:row>
    <x:row r="554">
      <x:c r="E554" s="17"/>
    </x:row>
    <x:row r="555">
      <x:c r="E555" s="17"/>
    </x:row>
    <x:row r="556">
      <x:c r="E556" s="17"/>
    </x:row>
    <x:row r="557">
      <x:c r="E557" s="17"/>
    </x:row>
    <x:row r="558">
      <x:c r="E558" s="17"/>
    </x:row>
    <x:row r="559">
      <x:c r="E559" s="17"/>
    </x:row>
    <x:row r="560">
      <x:c r="E560" s="17"/>
    </x:row>
    <x:row r="561">
      <x:c r="E561" s="17"/>
    </x:row>
    <x:row r="562">
      <x:c r="E562" s="17"/>
    </x:row>
    <x:row r="563">
      <x:c r="E563" s="17"/>
    </x:row>
    <x:row r="564">
      <x:c r="E564" s="17"/>
    </x:row>
    <x:row r="565">
      <x:c r="E565" s="17"/>
    </x:row>
    <x:row r="566">
      <x:c r="E566" s="17"/>
    </x:row>
    <x:row r="567">
      <x:c r="E567" s="17"/>
    </x:row>
    <x:row r="568">
      <x:c r="E568" s="17"/>
    </x:row>
    <x:row r="569">
      <x:c r="E569" s="17"/>
    </x:row>
    <x:row r="570">
      <x:c r="E570" s="17"/>
    </x:row>
    <x:row r="571">
      <x:c r="E571" s="17"/>
    </x:row>
    <x:row r="572">
      <x:c r="E572" s="17"/>
    </x:row>
    <x:row r="573">
      <x:c r="E573" s="17"/>
    </x:row>
    <x:row r="574">
      <x:c r="E574" s="17"/>
    </x:row>
    <x:row r="575">
      <x:c r="E575" s="17"/>
    </x:row>
    <x:row r="576">
      <x:c r="E576" s="17"/>
    </x:row>
    <x:row r="577">
      <x:c r="E577" s="17"/>
    </x:row>
    <x:row r="578">
      <x:c r="E578" s="17"/>
    </x:row>
    <x:row r="579">
      <x:c r="E579" s="17"/>
    </x:row>
    <x:row r="580">
      <x:c r="E580" s="17"/>
    </x:row>
    <x:row r="581">
      <x:c r="E581" s="17"/>
    </x:row>
    <x:row r="582">
      <x:c r="E582" s="17"/>
    </x:row>
    <x:row r="583">
      <x:c r="E583" s="17"/>
    </x:row>
    <x:row r="584">
      <x:c r="E584" s="17"/>
    </x:row>
    <x:row r="585">
      <x:c r="E585" s="17"/>
    </x:row>
    <x:row r="586">
      <x:c r="E586" s="17"/>
    </x:row>
    <x:row r="587">
      <x:c r="E587" s="17"/>
    </x:row>
    <x:row r="588">
      <x:c r="E588" s="17"/>
    </x:row>
    <x:row r="589">
      <x:c r="E589" s="17"/>
    </x:row>
    <x:row r="590">
      <x:c r="E590" s="17"/>
    </x:row>
    <x:row r="591">
      <x:c r="E591" s="17"/>
    </x:row>
    <x:row r="592">
      <x:c r="E592" s="17"/>
    </x:row>
    <x:row r="593">
      <x:c r="E593" s="17"/>
    </x:row>
    <x:row r="594">
      <x:c r="E594" s="17"/>
    </x:row>
    <x:row r="595">
      <x:c r="E595" s="17"/>
    </x:row>
    <x:row r="596">
      <x:c r="E596" s="17"/>
    </x:row>
    <x:row r="597">
      <x:c r="E597" s="17"/>
    </x:row>
    <x:row r="598">
      <x:c r="E598" s="17"/>
    </x:row>
    <x:row r="599">
      <x:c r="E599" s="17"/>
    </x:row>
    <x:row r="600">
      <x:c r="E600" s="17"/>
    </x:row>
    <x:row r="601">
      <x:c r="E601" s="17"/>
    </x:row>
    <x:row r="602">
      <x:c r="E602" s="17"/>
    </x:row>
    <x:row r="603">
      <x:c r="E603" s="17"/>
    </x:row>
    <x:row r="604">
      <x:c r="E604" s="17"/>
    </x:row>
    <x:row r="605">
      <x:c r="E605" s="17"/>
    </x:row>
    <x:row r="606">
      <x:c r="E606" s="17"/>
    </x:row>
    <x:row r="607">
      <x:c r="E607" s="17"/>
    </x:row>
    <x:row r="608">
      <x:c r="E608" s="17"/>
    </x:row>
    <x:row r="609">
      <x:c r="E609" s="17"/>
    </x:row>
    <x:row r="610">
      <x:c r="E610" s="17"/>
    </x:row>
    <x:row r="611">
      <x:c r="E611" s="17"/>
    </x:row>
    <x:row r="612">
      <x:c r="E612" s="17"/>
    </x:row>
    <x:row r="613">
      <x:c r="E613" s="17"/>
    </x:row>
    <x:row r="614">
      <x:c r="E614" s="17"/>
    </x:row>
    <x:row r="615">
      <x:c r="E615" s="17"/>
    </x:row>
    <x:row r="616">
      <x:c r="E616" s="17"/>
    </x:row>
    <x:row r="617">
      <x:c r="E617" s="17"/>
    </x:row>
    <x:row r="618">
      <x:c r="E618" s="17"/>
    </x:row>
    <x:row r="619">
      <x:c r="E619" s="17"/>
    </x:row>
    <x:row r="620">
      <x:c r="E620" s="17"/>
    </x:row>
    <x:row r="621">
      <x:c r="E621" s="17"/>
    </x:row>
    <x:row r="622">
      <x:c r="E622" s="17"/>
    </x:row>
    <x:row r="623">
      <x:c r="E623" s="17"/>
    </x:row>
    <x:row r="624">
      <x:c r="E624" s="17"/>
    </x:row>
    <x:row r="625">
      <x:c r="E625" s="17"/>
    </x:row>
    <x:row r="626">
      <x:c r="E626" s="17"/>
    </x:row>
    <x:row r="627">
      <x:c r="E627" s="17"/>
    </x:row>
    <x:row r="628">
      <x:c r="E628" s="17"/>
    </x:row>
    <x:row r="629">
      <x:c r="E629" s="17"/>
    </x:row>
    <x:row r="630">
      <x:c r="E630" s="17"/>
    </x:row>
    <x:row r="631">
      <x:c r="E631" s="17"/>
    </x:row>
    <x:row r="632">
      <x:c r="E632" s="17"/>
    </x:row>
    <x:row r="633">
      <x:c r="E633" s="17"/>
    </x:row>
    <x:row r="634">
      <x:c r="E634" s="17"/>
    </x:row>
    <x:row r="635">
      <x:c r="E635" s="17"/>
    </x:row>
    <x:row r="636">
      <x:c r="E636" s="17"/>
    </x:row>
    <x:row r="637">
      <x:c r="E637" s="17"/>
    </x:row>
    <x:row r="638">
      <x:c r="E638" s="17"/>
    </x:row>
    <x:row r="639">
      <x:c r="E639" s="17"/>
    </x:row>
    <x:row r="640">
      <x:c r="E640" s="17"/>
    </x:row>
    <x:row r="641">
      <x:c r="E641" s="17"/>
    </x:row>
    <x:row r="642">
      <x:c r="E642" s="17"/>
    </x:row>
    <x:row r="643">
      <x:c r="E643" s="17"/>
    </x:row>
    <x:row r="644">
      <x:c r="E644" s="17"/>
    </x:row>
    <x:row r="645">
      <x:c r="E645" s="17"/>
    </x:row>
    <x:row r="646">
      <x:c r="E646" s="17"/>
    </x:row>
    <x:row r="647">
      <x:c r="E647" s="17"/>
    </x:row>
    <x:row r="648">
      <x:c r="E648" s="17"/>
    </x:row>
    <x:row r="649">
      <x:c r="E649" s="17"/>
    </x:row>
    <x:row r="650">
      <x:c r="E650" s="17"/>
    </x:row>
    <x:row r="651">
      <x:c r="E651" s="17"/>
    </x:row>
    <x:row r="652">
      <x:c r="E652" s="17"/>
    </x:row>
    <x:row r="653">
      <x:c r="E653" s="17"/>
    </x:row>
    <x:row r="654">
      <x:c r="E654" s="17"/>
    </x:row>
    <x:row r="655">
      <x:c r="E655" s="17"/>
    </x:row>
    <x:row r="656">
      <x:c r="E656" s="17"/>
    </x:row>
    <x:row r="657">
      <x:c r="E657" s="17"/>
    </x:row>
    <x:row r="658">
      <x:c r="E658" s="17"/>
    </x:row>
    <x:row r="659">
      <x:c r="E659" s="17"/>
    </x:row>
    <x:row r="660">
      <x:c r="E660" s="17"/>
    </x:row>
    <x:row r="661">
      <x:c r="E661" s="17"/>
    </x:row>
    <x:row r="662">
      <x:c r="E662" s="17"/>
    </x:row>
    <x:row r="663">
      <x:c r="E663" s="17"/>
    </x:row>
    <x:row r="664">
      <x:c r="E664" s="17"/>
    </x:row>
    <x:row r="665">
      <x:c r="E665" s="17"/>
    </x:row>
    <x:row r="666">
      <x:c r="E666" s="17"/>
    </x:row>
    <x:row r="667">
      <x:c r="E667" s="17"/>
    </x:row>
    <x:row r="668">
      <x:c r="E668" s="17"/>
    </x:row>
    <x:row r="669">
      <x:c r="E669" s="17"/>
    </x:row>
    <x:row r="670">
      <x:c r="E670" s="17"/>
    </x:row>
    <x:row r="671">
      <x:c r="E671" s="17"/>
    </x:row>
    <x:row r="672">
      <x:c r="E672" s="17"/>
    </x:row>
    <x:row r="673">
      <x:c r="E673" s="17"/>
    </x:row>
    <x:row r="674">
      <x:c r="E674" s="17"/>
    </x:row>
    <x:row r="675">
      <x:c r="E675" s="17"/>
    </x:row>
    <x:row r="676">
      <x:c r="E676" s="17"/>
    </x:row>
    <x:row r="677">
      <x:c r="E677" s="17"/>
    </x:row>
    <x:row r="678">
      <x:c r="E678" s="17"/>
    </x:row>
    <x:row r="679">
      <x:c r="E679" s="17"/>
    </x:row>
    <x:row r="680">
      <x:c r="E680" s="17"/>
    </x:row>
    <x:row r="681">
      <x:c r="E681" s="17"/>
    </x:row>
    <x:row r="682">
      <x:c r="E682" s="17"/>
    </x:row>
    <x:row r="683">
      <x:c r="E683" s="17"/>
    </x:row>
    <x:row r="684">
      <x:c r="E684" s="17"/>
    </x:row>
    <x:row r="685">
      <x:c r="E685" s="17"/>
    </x:row>
    <x:row r="686">
      <x:c r="E686" s="17"/>
    </x:row>
    <x:row r="687">
      <x:c r="E687" s="17"/>
    </x:row>
    <x:row r="688">
      <x:c r="E688" s="17"/>
    </x:row>
    <x:row r="689">
      <x:c r="E689" s="17"/>
    </x:row>
    <x:row r="690">
      <x:c r="E690" s="17"/>
    </x:row>
    <x:row r="691">
      <x:c r="E691" s="17"/>
    </x:row>
    <x:row r="692">
      <x:c r="E692" s="17"/>
    </x:row>
    <x:row r="693">
      <x:c r="E693" s="17"/>
    </x:row>
    <x:row r="694">
      <x:c r="E694" s="17"/>
    </x:row>
    <x:row r="695">
      <x:c r="E695" s="17"/>
    </x:row>
    <x:row r="696">
      <x:c r="E696" s="17"/>
    </x:row>
    <x:row r="697">
      <x:c r="E697" s="17"/>
    </x:row>
    <x:row r="698">
      <x:c r="E698" s="17"/>
    </x:row>
    <x:row r="699">
      <x:c r="E699" s="17"/>
    </x:row>
    <x:row r="700">
      <x:c r="E700" s="17"/>
    </x:row>
    <x:row r="701">
      <x:c r="E701" s="17"/>
    </x:row>
    <x:row r="702">
      <x:c r="E702" s="17"/>
    </x:row>
    <x:row r="703">
      <x:c r="E703" s="17"/>
    </x:row>
    <x:row r="704">
      <x:c r="E704" s="17"/>
    </x:row>
    <x:row r="705">
      <x:c r="E705" s="17"/>
    </x:row>
    <x:row r="706">
      <x:c r="E706" s="17"/>
    </x:row>
    <x:row r="707">
      <x:c r="E707" s="17"/>
    </x:row>
    <x:row r="708">
      <x:c r="E708" s="17"/>
    </x:row>
    <x:row r="709">
      <x:c r="E709" s="17"/>
    </x:row>
    <x:row r="710">
      <x:c r="E710" s="17"/>
    </x:row>
    <x:row r="711">
      <x:c r="E711" s="17"/>
    </x:row>
    <x:row r="712">
      <x:c r="E712" s="17"/>
    </x:row>
    <x:row r="713">
      <x:c r="E713" s="17"/>
    </x:row>
    <x:row r="714">
      <x:c r="E714" s="17"/>
    </x:row>
    <x:row r="715">
      <x:c r="E715" s="17"/>
    </x:row>
    <x:row r="716">
      <x:c r="E716" s="17"/>
    </x:row>
    <x:row r="717">
      <x:c r="E717" s="17"/>
    </x:row>
    <x:row r="718">
      <x:c r="E718" s="17"/>
    </x:row>
    <x:row r="719">
      <x:c r="E719" s="17"/>
    </x:row>
    <x:row r="720">
      <x:c r="E720" s="17"/>
    </x:row>
    <x:row r="721">
      <x:c r="E721" s="17"/>
    </x:row>
    <x:row r="722">
      <x:c r="E722" s="17"/>
    </x:row>
    <x:row r="723">
      <x:c r="E723" s="17"/>
    </x:row>
    <x:row r="724">
      <x:c r="E724" s="17"/>
    </x:row>
    <x:row r="725">
      <x:c r="E725" s="17"/>
    </x:row>
    <x:row r="726">
      <x:c r="E726" s="17"/>
    </x:row>
    <x:row r="727">
      <x:c r="E727" s="17"/>
    </x:row>
    <x:row r="728">
      <x:c r="E728" s="17"/>
    </x:row>
    <x:row r="729">
      <x:c r="E729" s="17"/>
    </x:row>
    <x:row r="730">
      <x:c r="E730" s="17"/>
    </x:row>
    <x:row r="731">
      <x:c r="E731" s="17"/>
    </x:row>
    <x:row r="732">
      <x:c r="E732" s="17"/>
    </x:row>
    <x:row r="733">
      <x:c r="E733" s="17"/>
    </x:row>
    <x:row r="734">
      <x:c r="E734" s="17"/>
    </x:row>
    <x:row r="735">
      <x:c r="E735" s="17"/>
    </x:row>
    <x:row r="736">
      <x:c r="E736" s="17"/>
    </x:row>
    <x:row r="737">
      <x:c r="E737" s="17"/>
    </x:row>
    <x:row r="738">
      <x:c r="E738" s="17"/>
    </x:row>
    <x:row r="739">
      <x:c r="E739" s="17"/>
    </x:row>
    <x:row r="740">
      <x:c r="E740" s="17"/>
    </x:row>
    <x:row r="741">
      <x:c r="E741" s="17"/>
    </x:row>
    <x:row r="742">
      <x:c r="E742" s="17"/>
    </x:row>
    <x:row r="743">
      <x:c r="E743" s="17"/>
    </x:row>
    <x:row r="744">
      <x:c r="E744" s="17"/>
    </x:row>
    <x:row r="745">
      <x:c r="E745" s="17"/>
    </x:row>
    <x:row r="746">
      <x:c r="E746" s="17"/>
    </x:row>
    <x:row r="747">
      <x:c r="E747" s="17"/>
    </x:row>
    <x:row r="748">
      <x:c r="E748" s="17"/>
    </x:row>
    <x:row r="749">
      <x:c r="E749" s="17"/>
    </x:row>
    <x:row r="750">
      <x:c r="E750" s="17"/>
    </x:row>
    <x:row r="751">
      <x:c r="E751" s="17"/>
    </x:row>
    <x:row r="752">
      <x:c r="E752" s="17"/>
    </x:row>
    <x:row r="753">
      <x:c r="E753" s="17"/>
    </x:row>
    <x:row r="754">
      <x:c r="E754" s="17"/>
    </x:row>
    <x:row r="755">
      <x:c r="E755" s="17"/>
    </x:row>
    <x:row r="756">
      <x:c r="E756" s="17"/>
    </x:row>
    <x:row r="757">
      <x:c r="E757" s="17"/>
    </x:row>
    <x:row r="758">
      <x:c r="E758" s="17"/>
    </x:row>
    <x:row r="759">
      <x:c r="E759" s="17"/>
    </x:row>
    <x:row r="760">
      <x:c r="E760" s="17"/>
    </x:row>
    <x:row r="761">
      <x:c r="E761" s="17"/>
    </x:row>
    <x:row r="762">
      <x:c r="E762" s="17"/>
    </x:row>
    <x:row r="763">
      <x:c r="E763" s="17"/>
    </x:row>
    <x:row r="764">
      <x:c r="E764" s="17"/>
    </x:row>
    <x:row r="765">
      <x:c r="E765" s="17"/>
    </x:row>
    <x:row r="766">
      <x:c r="E766" s="17"/>
    </x:row>
    <x:row r="767">
      <x:c r="E767" s="17"/>
    </x:row>
    <x:row r="768">
      <x:c r="E768" s="17"/>
    </x:row>
    <x:row r="769">
      <x:c r="E769" s="17"/>
    </x:row>
    <x:row r="770">
      <x:c r="E770" s="17"/>
    </x:row>
    <x:row r="771">
      <x:c r="E771" s="17"/>
    </x:row>
    <x:row r="772">
      <x:c r="E772" s="17"/>
    </x:row>
    <x:row r="773">
      <x:c r="E773" s="17"/>
    </x:row>
    <x:row r="774">
      <x:c r="E774" s="17"/>
    </x:row>
    <x:row r="775">
      <x:c r="E775" s="17"/>
    </x:row>
    <x:row r="776">
      <x:c r="E776" s="17"/>
    </x:row>
    <x:row r="777">
      <x:c r="E777" s="17"/>
    </x:row>
    <x:row r="778">
      <x:c r="E778" s="17"/>
    </x:row>
    <x:row r="779">
      <x:c r="E779" s="17"/>
    </x:row>
    <x:row r="780">
      <x:c r="E780" s="17"/>
    </x:row>
    <x:row r="781">
      <x:c r="E781" s="17"/>
    </x:row>
    <x:row r="782">
      <x:c r="E782" s="17"/>
    </x:row>
    <x:row r="783">
      <x:c r="E783" s="17"/>
    </x:row>
    <x:row r="784">
      <x:c r="E784" s="17"/>
    </x:row>
    <x:row r="785">
      <x:c r="E785" s="17"/>
    </x:row>
    <x:row r="786">
      <x:c r="E786" s="17"/>
    </x:row>
    <x:row r="787">
      <x:c r="E787" s="17"/>
    </x:row>
    <x:row r="788">
      <x:c r="E788" s="17"/>
    </x:row>
    <x:row r="789">
      <x:c r="E789" s="17"/>
    </x:row>
    <x:row r="790">
      <x:c r="E790" s="17"/>
    </x:row>
    <x:row r="791">
      <x:c r="E791" s="17"/>
    </x:row>
    <x:row r="792">
      <x:c r="E792" s="17"/>
    </x:row>
    <x:row r="793">
      <x:c r="E793" s="17"/>
    </x:row>
    <x:row r="794">
      <x:c r="E794" s="17"/>
    </x:row>
    <x:row r="795">
      <x:c r="E795" s="17"/>
    </x:row>
    <x:row r="796">
      <x:c r="E796" s="17"/>
    </x:row>
    <x:row r="797">
      <x:c r="E797" s="17"/>
    </x:row>
    <x:row r="798">
      <x:c r="E798" s="17"/>
    </x:row>
    <x:row r="799">
      <x:c r="E799" s="17"/>
    </x:row>
    <x:row r="800">
      <x:c r="E800" s="17"/>
    </x:row>
    <x:row r="801">
      <x:c r="E801" s="17"/>
    </x:row>
    <x:row r="802">
      <x:c r="E802" s="17"/>
    </x:row>
    <x:row r="803">
      <x:c r="E803" s="17"/>
    </x:row>
    <x:row r="804">
      <x:c r="E804" s="17"/>
    </x:row>
    <x:row r="805">
      <x:c r="E805" s="17"/>
    </x:row>
    <x:row r="806">
      <x:c r="E806" s="17"/>
    </x:row>
    <x:row r="807">
      <x:c r="E807" s="17"/>
    </x:row>
    <x:row r="808">
      <x:c r="E808" s="17"/>
    </x:row>
    <x:row r="809">
      <x:c r="E809" s="17"/>
    </x:row>
    <x:row r="810">
      <x:c r="E810" s="17"/>
    </x:row>
    <x:row r="811">
      <x:c r="E811" s="17"/>
    </x:row>
    <x:row r="812">
      <x:c r="E812" s="17"/>
    </x:row>
    <x:row r="813">
      <x:c r="E813" s="17"/>
    </x:row>
    <x:row r="814">
      <x:c r="E814" s="17"/>
    </x:row>
    <x:row r="815">
      <x:c r="E815" s="17"/>
    </x:row>
    <x:row r="816">
      <x:c r="E816" s="17"/>
    </x:row>
    <x:row r="817">
      <x:c r="E817" s="17"/>
    </x:row>
    <x:row r="818">
      <x:c r="E818" s="17"/>
    </x:row>
    <x:row r="819">
      <x:c r="E819" s="17"/>
    </x:row>
    <x:row r="820">
      <x:c r="E820" s="17"/>
    </x:row>
    <x:row r="821">
      <x:c r="E821" s="17"/>
    </x:row>
    <x:row r="822">
      <x:c r="E822" s="17"/>
    </x:row>
    <x:row r="823">
      <x:c r="E823" s="17"/>
    </x:row>
    <x:row r="824">
      <x:c r="E824" s="17"/>
    </x:row>
    <x:row r="825">
      <x:c r="E825" s="17"/>
    </x:row>
    <x:row r="826">
      <x:c r="E826" s="17"/>
    </x:row>
    <x:row r="827">
      <x:c r="E827" s="17"/>
    </x:row>
    <x:row r="828">
      <x:c r="E828" s="17"/>
    </x:row>
    <x:row r="829">
      <x:c r="E829" s="17"/>
    </x:row>
    <x:row r="830">
      <x:c r="E830" s="17"/>
    </x:row>
    <x:row r="831">
      <x:c r="E831" s="17"/>
    </x:row>
    <x:row r="832">
      <x:c r="E832" s="17"/>
    </x:row>
    <x:row r="833">
      <x:c r="E833" s="17"/>
    </x:row>
    <x:row r="834">
      <x:c r="E834" s="17"/>
    </x:row>
    <x:row r="835">
      <x:c r="E835" s="17"/>
    </x:row>
    <x:row r="836">
      <x:c r="E836" s="17"/>
    </x:row>
    <x:row r="837">
      <x:c r="E837" s="17"/>
    </x:row>
    <x:row r="838">
      <x:c r="E838" s="17"/>
    </x:row>
    <x:row r="839">
      <x:c r="E839" s="17"/>
    </x:row>
    <x:row r="840">
      <x:c r="E840" s="17"/>
    </x:row>
    <x:row r="841">
      <x:c r="E841" s="17"/>
    </x:row>
    <x:row r="842">
      <x:c r="E842" s="17"/>
    </x:row>
    <x:row r="843">
      <x:c r="E843" s="17"/>
    </x:row>
    <x:row r="844">
      <x:c r="E844" s="17"/>
    </x:row>
    <x:row r="845">
      <x:c r="E845" s="17"/>
    </x:row>
    <x:row r="846">
      <x:c r="E846" s="17"/>
    </x:row>
    <x:row r="847">
      <x:c r="E847" s="17"/>
    </x:row>
    <x:row r="848">
      <x:c r="E848" s="17"/>
    </x:row>
    <x:row r="849">
      <x:c r="E849" s="17"/>
    </x:row>
    <x:row r="850">
      <x:c r="E850" s="17"/>
    </x:row>
    <x:row r="851">
      <x:c r="E851" s="17"/>
    </x:row>
    <x:row r="852">
      <x:c r="E852" s="17"/>
    </x:row>
    <x:row r="853">
      <x:c r="E853" s="17"/>
    </x:row>
    <x:row r="854">
      <x:c r="E854" s="17"/>
    </x:row>
    <x:row r="855">
      <x:c r="E855" s="17"/>
    </x:row>
    <x:row r="856">
      <x:c r="E856" s="17"/>
    </x:row>
    <x:row r="857">
      <x:c r="E857" s="17"/>
    </x:row>
    <x:row r="858">
      <x:c r="E858" s="17"/>
    </x:row>
    <x:row r="859">
      <x:c r="E859" s="17"/>
    </x:row>
    <x:row r="860">
      <x:c r="E860" s="17"/>
    </x:row>
    <x:row r="861">
      <x:c r="E861" s="17"/>
    </x:row>
    <x:row r="862">
      <x:c r="E862" s="17"/>
    </x:row>
    <x:row r="863">
      <x:c r="E863" s="17"/>
    </x:row>
    <x:row r="864">
      <x:c r="E864" s="17"/>
    </x:row>
    <x:row r="865">
      <x:c r="E865" s="17"/>
    </x:row>
    <x:row r="866">
      <x:c r="E866" s="17"/>
    </x:row>
    <x:row r="867">
      <x:c r="E867" s="17"/>
    </x:row>
    <x:row r="868">
      <x:c r="E868" s="17"/>
    </x:row>
    <x:row r="869">
      <x:c r="E869" s="17"/>
    </x:row>
    <x:row r="870">
      <x:c r="E870" s="17"/>
    </x:row>
    <x:row r="871">
      <x:c r="E871" s="17"/>
    </x:row>
    <x:row r="872">
      <x:c r="E872" s="17"/>
    </x:row>
    <x:row r="873">
      <x:c r="E873" s="17"/>
    </x:row>
    <x:row r="874">
      <x:c r="E874" s="17"/>
    </x:row>
    <x:row r="875">
      <x:c r="E875" s="17"/>
    </x:row>
    <x:row r="876">
      <x:c r="E876" s="17"/>
    </x:row>
    <x:row r="877">
      <x:c r="E877" s="17"/>
    </x:row>
    <x:row r="878">
      <x:c r="E878" s="17"/>
    </x:row>
    <x:row r="879">
      <x:c r="E879" s="17"/>
    </x:row>
    <x:row r="880">
      <x:c r="E880" s="17"/>
    </x:row>
    <x:row r="881">
      <x:c r="E881" s="17"/>
    </x:row>
    <x:row r="882">
      <x:c r="E882" s="17"/>
    </x:row>
    <x:row r="883">
      <x:c r="E883" s="17"/>
    </x:row>
    <x:row r="884">
      <x:c r="E884" s="17"/>
    </x:row>
    <x:row r="885">
      <x:c r="E885" s="17"/>
    </x:row>
    <x:row r="886">
      <x:c r="E886" s="17"/>
    </x:row>
    <x:row r="887">
      <x:c r="E887" s="17"/>
    </x:row>
    <x:row r="888">
      <x:c r="E888" s="17"/>
    </x:row>
    <x:row r="889">
      <x:c r="E889" s="17"/>
    </x:row>
    <x:row r="890">
      <x:c r="E890" s="17"/>
    </x:row>
    <x:row r="891">
      <x:c r="E891" s="17"/>
    </x:row>
    <x:row r="892">
      <x:c r="E892" s="17"/>
    </x:row>
    <x:row r="893">
      <x:c r="E893" s="17"/>
    </x:row>
    <x:row r="894">
      <x:c r="E894" s="17"/>
    </x:row>
    <x:row r="895">
      <x:c r="E895" s="17"/>
    </x:row>
    <x:row r="896">
      <x:c r="E896" s="17"/>
    </x:row>
    <x:row r="897">
      <x:c r="E897" s="17"/>
    </x:row>
    <x:row r="898">
      <x:c r="E898" s="17"/>
    </x:row>
    <x:row r="899">
      <x:c r="E899" s="17"/>
    </x:row>
    <x:row r="900">
      <x:c r="E900" s="17"/>
    </x:row>
    <x:row r="901">
      <x:c r="E901" s="17"/>
    </x:row>
    <x:row r="902">
      <x:c r="E902" s="17"/>
    </x:row>
    <x:row r="903">
      <x:c r="E903" s="17"/>
    </x:row>
    <x:row r="904">
      <x:c r="E904" s="17"/>
    </x:row>
    <x:row r="905">
      <x:c r="E905" s="17"/>
    </x:row>
    <x:row r="906">
      <x:c r="E906" s="17"/>
    </x:row>
    <x:row r="907">
      <x:c r="E907" s="17"/>
    </x:row>
    <x:row r="908">
      <x:c r="E908" s="17"/>
    </x:row>
    <x:row r="909">
      <x:c r="E909" s="17"/>
    </x:row>
    <x:row r="910">
      <x:c r="E910" s="17"/>
    </x:row>
    <x:row r="911">
      <x:c r="E911" s="17"/>
    </x:row>
    <x:row r="912">
      <x:c r="E912" s="17"/>
    </x:row>
    <x:row r="913">
      <x:c r="E913" s="17"/>
    </x:row>
    <x:row r="914">
      <x:c r="E914" s="17"/>
    </x:row>
    <x:row r="915">
      <x:c r="E915" s="17"/>
    </x:row>
    <x:row r="916">
      <x:c r="E916" s="17"/>
    </x:row>
    <x:row r="917">
      <x:c r="E917" s="17"/>
    </x:row>
    <x:row r="918">
      <x:c r="E918" s="17"/>
    </x:row>
    <x:row r="919">
      <x:c r="E919" s="17"/>
    </x:row>
    <x:row r="920">
      <x:c r="E920" s="17"/>
    </x:row>
    <x:row r="921">
      <x:c r="E921" s="17"/>
    </x:row>
    <x:row r="922">
      <x:c r="E922" s="17"/>
    </x:row>
    <x:row r="923">
      <x:c r="E923" s="17"/>
    </x:row>
    <x:row r="924">
      <x:c r="E924" s="17"/>
    </x:row>
    <x:row r="925">
      <x:c r="E925" s="17"/>
    </x:row>
    <x:row r="926">
      <x:c r="E926" s="17"/>
    </x:row>
    <x:row r="927">
      <x:c r="E927" s="17"/>
    </x:row>
    <x:row r="928">
      <x:c r="E928" s="17"/>
    </x:row>
    <x:row r="929">
      <x:c r="E929" s="17"/>
    </x:row>
    <x:row r="930">
      <x:c r="E930" s="17"/>
    </x:row>
    <x:row r="931">
      <x:c r="E931" s="17"/>
    </x:row>
    <x:row r="932">
      <x:c r="E932" s="17"/>
    </x:row>
    <x:row r="933">
      <x:c r="E933" s="17"/>
    </x:row>
    <x:row r="934">
      <x:c r="E934" s="17"/>
    </x:row>
    <x:row r="935">
      <x:c r="E935" s="17"/>
    </x:row>
    <x:row r="936">
      <x:c r="E936" s="17"/>
    </x:row>
    <x:row r="937">
      <x:c r="E937" s="17"/>
    </x:row>
    <x:row r="938">
      <x:c r="E938" s="17"/>
    </x:row>
    <x:row r="939">
      <x:c r="E939" s="17"/>
    </x:row>
    <x:row r="940">
      <x:c r="E940" s="17"/>
    </x:row>
    <x:row r="941">
      <x:c r="E941" s="17"/>
    </x:row>
    <x:row r="942">
      <x:c r="E942" s="17"/>
    </x:row>
    <x:row r="943">
      <x:c r="E943" s="17"/>
    </x:row>
    <x:row r="944">
      <x:c r="E944" s="17"/>
    </x:row>
    <x:row r="945">
      <x:c r="E945" s="17"/>
    </x:row>
    <x:row r="946">
      <x:c r="E946" s="17"/>
    </x:row>
    <x:row r="947">
      <x:c r="E947" s="17"/>
    </x:row>
    <x:row r="948">
      <x:c r="E948" s="17"/>
    </x:row>
    <x:row r="949">
      <x:c r="E949" s="17"/>
    </x:row>
    <x:row r="950">
      <x:c r="E950" s="17"/>
    </x:row>
    <x:row r="951">
      <x:c r="E951" s="17"/>
    </x:row>
    <x:row r="952">
      <x:c r="E952" s="17"/>
    </x:row>
    <x:row r="953">
      <x:c r="E953" s="17"/>
    </x:row>
    <x:row r="954">
      <x:c r="E954" s="17"/>
    </x:row>
    <x:row r="955">
      <x:c r="E955" s="17"/>
    </x:row>
    <x:row r="956">
      <x:c r="E956" s="17"/>
    </x:row>
    <x:row r="957">
      <x:c r="E957" s="17"/>
    </x:row>
    <x:row r="958">
      <x:c r="E958" s="17"/>
    </x:row>
    <x:row r="959">
      <x:c r="E959" s="17"/>
    </x:row>
    <x:row r="960">
      <x:c r="E960" s="17"/>
    </x:row>
    <x:row r="961">
      <x:c r="E961" s="17"/>
    </x:row>
    <x:row r="962">
      <x:c r="E962" s="17"/>
    </x:row>
    <x:row r="963">
      <x:c r="E963" s="17"/>
    </x:row>
    <x:row r="964">
      <x:c r="E964" s="17"/>
    </x:row>
    <x:row r="965">
      <x:c r="E965" s="17"/>
    </x:row>
    <x:row r="966">
      <x:c r="E966" s="17"/>
    </x:row>
    <x:row r="967">
      <x:c r="E967" s="17"/>
    </x:row>
    <x:row r="968">
      <x:c r="E968" s="17"/>
    </x:row>
    <x:row r="969">
      <x:c r="E969" s="17"/>
    </x:row>
    <x:row r="970">
      <x:c r="E970" s="17"/>
    </x:row>
    <x:row r="971">
      <x:c r="E971" s="17"/>
    </x:row>
    <x:row r="972">
      <x:c r="E972" s="17"/>
    </x:row>
    <x:row r="973">
      <x:c r="E973" s="17"/>
    </x:row>
    <x:row r="974">
      <x:c r="E974" s="17"/>
    </x:row>
    <x:row r="975">
      <x:c r="E975" s="17"/>
    </x:row>
    <x:row r="976">
      <x:c r="E976" s="17"/>
    </x:row>
    <x:row r="977">
      <x:c r="E977" s="17"/>
    </x:row>
    <x:row r="978">
      <x:c r="E978" s="17"/>
    </x:row>
    <x:row r="979">
      <x:c r="E979" s="17"/>
    </x:row>
    <x:row r="980">
      <x:c r="E980" s="17"/>
    </x:row>
    <x:row r="981">
      <x:c r="E981" s="17"/>
    </x:row>
    <x:row r="982">
      <x:c r="E982" s="17"/>
    </x:row>
    <x:row r="983">
      <x:c r="E983" s="17"/>
    </x:row>
    <x:row r="984">
      <x:c r="E984" s="17"/>
    </x:row>
    <x:row r="985">
      <x:c r="E985" s="17"/>
    </x:row>
    <x:row r="986">
      <x:c r="E986" s="17"/>
    </x:row>
    <x:row r="987">
      <x:c r="E987" s="17"/>
    </x:row>
    <x:row r="988">
      <x:c r="E988" s="17"/>
    </x:row>
    <x:row r="989">
      <x:c r="E989" s="17"/>
    </x:row>
    <x:row r="990">
      <x:c r="E990" s="17"/>
    </x:row>
    <x:row r="991">
      <x:c r="E991" s="17"/>
    </x:row>
    <x:row r="992">
      <x:c r="E992" s="17"/>
    </x:row>
    <x:row r="993">
      <x:c r="E993" s="17"/>
    </x:row>
    <x:row r="994">
      <x:c r="E994" s="17"/>
    </x:row>
    <x:row r="995">
      <x:c r="E995" s="17"/>
    </x:row>
    <x:row r="996">
      <x:c r="E996" s="17"/>
    </x:row>
    <x:row r="997">
      <x:c r="E997" s="17"/>
    </x:row>
    <x:row r="998">
      <x:c r="E998" s="17"/>
    </x:row>
    <x:row r="999">
      <x:c r="E999" s="17"/>
    </x:row>
    <x:row r="1000">
      <x:c r="E1000" s="17"/>
    </x:row>
    <x:row r="1001">
      <x:c r="E1001" s="17"/>
    </x:row>
    <x:row r="1002">
      <x:c r="E1002" s="17"/>
    </x:row>
    <x:row r="1003">
      <x:c r="E1003" s="17"/>
    </x:row>
    <x:row r="1004">
      <x:c r="E1004" s="17"/>
    </x:row>
    <x:row r="1005">
      <x:c r="E1005" s="17"/>
    </x:row>
    <x:row r="1006">
      <x:c r="E1006" s="17"/>
    </x:row>
  </x:sheetData>
  <x:conditionalFormatting sqref="E7:E1006">
    <x:cfRule type="expression" dxfId="0" priority="1">
      <x:formula>$E7="Implemented"</x:formula>
    </x:cfRule>
    <x:cfRule type="expression" dxfId="1" priority="2">
      <x:formula>$E7="Partial"</x:formula>
    </x:cfRule>
    <x:cfRule type="expression" dxfId="2" priority="3">
      <x:formula>$E7="Blocked"</x:formula>
    </x:cfRule>
    <x:cfRule type="expression" dxfId="3" priority="4">
      <x:formula>$E7="Not started"</x:formula>
    </x:cfRule>
  </x:conditionalFormatting>
  <x:dataValidations count="2">
    <x:dataValidation type="list" sqref="E7:E1006">
      <x:formula1>"Implemented,Partial,Blocked,Not started"</x:formula1>
    </x:dataValidation>
    <x:dataValidation type="list" sqref="G7:G1006">
      <x:formula1>"P0,P1"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f4e1d7f4a24501"/>
  </x:tableParts>
</x:worksheet>
</file>